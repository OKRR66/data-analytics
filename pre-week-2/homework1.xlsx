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onurkaraer\Documents\DataAnalytics\pre-week-2\"/>
    </mc:Choice>
  </mc:AlternateContent>
  <xr:revisionPtr revIDLastSave="0" documentId="13_ncr:1_{1FCF9E12-1268-4E80-8974-8385B48C6D97}" xr6:coauthVersionLast="47" xr6:coauthVersionMax="47" xr10:uidLastSave="{00000000-0000-0000-0000-000000000000}"/>
  <bookViews>
    <workbookView xWindow="-28020" yWindow="780" windowWidth="21600" windowHeight="11295" xr2:uid="{00000000-000D-0000-FFFF-FFFF00000000}"/>
  </bookViews>
  <sheets>
    <sheet name="Store_Data" sheetId="1" r:id="rId1"/>
    <sheet name="Store_Summa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" l="1"/>
  <c r="E5" i="1"/>
  <c r="E4" i="1"/>
  <c r="E3" i="1"/>
  <c r="E2" i="1"/>
  <c r="E1" i="1"/>
</calcChain>
</file>

<file path=xl/sharedStrings.xml><?xml version="1.0" encoding="utf-8"?>
<sst xmlns="http://schemas.openxmlformats.org/spreadsheetml/2006/main" count="20" uniqueCount="20">
  <si>
    <t>Store</t>
  </si>
  <si>
    <t>Monthly Sales</t>
  </si>
  <si>
    <t>Store A</t>
  </si>
  <si>
    <t>Store B</t>
  </si>
  <si>
    <t>Store C</t>
  </si>
  <si>
    <t>Store D</t>
  </si>
  <si>
    <t>Store E</t>
  </si>
  <si>
    <t>Store F</t>
  </si>
  <si>
    <t>Store G</t>
  </si>
  <si>
    <t>Store H</t>
  </si>
  <si>
    <t>Store I</t>
  </si>
  <si>
    <t>Store J</t>
  </si>
  <si>
    <t>Store K</t>
  </si>
  <si>
    <t>Store L</t>
  </si>
  <si>
    <t>Mean</t>
  </si>
  <si>
    <t>Median</t>
  </si>
  <si>
    <t>Mode</t>
  </si>
  <si>
    <t>Range</t>
  </si>
  <si>
    <t>Standard Dev.</t>
  </si>
  <si>
    <t>Standard Dev Store H excluded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</si>
</sst>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Store_Data!$B$1</c:f>
              <c:strCache>
                <c:ptCount val="1"/>
                <c:pt idx="0">
                  <c:v>Monthly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Store_Data!$A$2:$A$13</c:f>
              <c:strCache>
                <c:ptCount val="12"/>
                <c:pt idx="0">
                  <c:v>Store A</c:v>
                </c:pt>
                <c:pt idx="1">
                  <c:v>Store B</c:v>
                </c:pt>
                <c:pt idx="2">
                  <c:v>Store C</c:v>
                </c:pt>
                <c:pt idx="3">
                  <c:v>Store D</c:v>
                </c:pt>
                <c:pt idx="4">
                  <c:v>Store E</c:v>
                </c:pt>
                <c:pt idx="5">
                  <c:v>Store F</c:v>
                </c:pt>
                <c:pt idx="6">
                  <c:v>Store G</c:v>
                </c:pt>
                <c:pt idx="7">
                  <c:v>Store H</c:v>
                </c:pt>
                <c:pt idx="8">
                  <c:v>Store I</c:v>
                </c:pt>
                <c:pt idx="9">
                  <c:v>Store J</c:v>
                </c:pt>
                <c:pt idx="10">
                  <c:v>Store K</c:v>
                </c:pt>
                <c:pt idx="11">
                  <c:v>Store L</c:v>
                </c:pt>
              </c:strCache>
            </c:strRef>
          </c:cat>
          <c:val>
            <c:numRef>
              <c:f>Store_Data!$B$2:$B$13</c:f>
              <c:numCache>
                <c:formatCode>General</c:formatCode>
                <c:ptCount val="12"/>
                <c:pt idx="0">
                  <c:v>51</c:v>
                </c:pt>
                <c:pt idx="1">
                  <c:v>44</c:v>
                </c:pt>
                <c:pt idx="2">
                  <c:v>49</c:v>
                </c:pt>
                <c:pt idx="3">
                  <c:v>46</c:v>
                </c:pt>
                <c:pt idx="4">
                  <c:v>52</c:v>
                </c:pt>
                <c:pt idx="5">
                  <c:v>47</c:v>
                </c:pt>
                <c:pt idx="6">
                  <c:v>45</c:v>
                </c:pt>
                <c:pt idx="7">
                  <c:v>72</c:v>
                </c:pt>
                <c:pt idx="8">
                  <c:v>43</c:v>
                </c:pt>
                <c:pt idx="9">
                  <c:v>48</c:v>
                </c:pt>
                <c:pt idx="10">
                  <c:v>46</c:v>
                </c:pt>
                <c:pt idx="11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DA-467D-AB58-B30F3A9DAB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0127183"/>
        <c:axId val="1270130063"/>
      </c:barChart>
      <c:catAx>
        <c:axId val="1270127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0130063"/>
        <c:crosses val="autoZero"/>
        <c:auto val="1"/>
        <c:lblAlgn val="ctr"/>
        <c:lblOffset val="100"/>
        <c:noMultiLvlLbl val="0"/>
      </c:catAx>
      <c:valAx>
        <c:axId val="1270130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01271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419100</xdr:colOff>
      <xdr:row>1</xdr:row>
      <xdr:rowOff>133350</xdr:rowOff>
    </xdr:from>
    <xdr:to>
      <xdr:col>11</xdr:col>
      <xdr:colOff>85725</xdr:colOff>
      <xdr:row>8</xdr:row>
      <xdr:rowOff>47625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6697E39-3E01-D7F8-2407-231FF8EF753B}"/>
            </a:ext>
          </a:extLst>
        </xdr:cNvPr>
        <xdr:cNvSpPr txBox="1"/>
      </xdr:nvSpPr>
      <xdr:spPr>
        <a:xfrm>
          <a:off x="419100" y="323850"/>
          <a:ext cx="6372225" cy="12477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Store H is the</a:t>
          </a:r>
          <a:r>
            <a:rPr lang="en-US" sz="1100" baseline="0"/>
            <a:t> significant high performer compare the other stores.</a:t>
          </a:r>
          <a:br>
            <a:rPr lang="en-US" sz="1100" baseline="0"/>
          </a:br>
          <a:r>
            <a:rPr lang="en-US" sz="1100" baseline="0"/>
            <a:t>When all the stores are included in the calculation we see that standard deviation is 7.63. If we exclude the Store H standard deviation is dropping to 2.91 which shows us rest of the stores are performed similarly in terms of sales. It is beneficial to exclude outlier like Store H to get a better insight.</a:t>
          </a:r>
        </a:p>
        <a:p>
          <a:r>
            <a:rPr lang="en-US" sz="1100" baseline="0"/>
            <a:t>The Median 47.5 and Mode 46 shows that most stores performed around high 40s</a:t>
          </a:r>
          <a:endParaRPr lang="en-US" sz="1100"/>
        </a:p>
      </xdr:txBody>
    </xdr:sp>
    <xdr:clientData/>
  </xdr:twoCellAnchor>
  <xdr:twoCellAnchor>
    <xdr:from>
      <xdr:col>0</xdr:col>
      <xdr:colOff>447675</xdr:colOff>
      <xdr:row>10</xdr:row>
      <xdr:rowOff>147637</xdr:rowOff>
    </xdr:from>
    <xdr:to>
      <xdr:col>8</xdr:col>
      <xdr:colOff>142875</xdr:colOff>
      <xdr:row>25</xdr:row>
      <xdr:rowOff>33337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BBD9295-0B33-D37B-26CC-3EF6245F65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E68276-177C-4528-92C9-91AF05357C6F}" name="Table1" displayName="Table1" ref="A1:B14" totalsRowCount="1">
  <autoFilter ref="A1:B13" xr:uid="{B1E68276-177C-4528-92C9-91AF05357C6F}"/>
  <tableColumns count="2">
    <tableColumn id="1" xr3:uid="{FF4EA49F-260A-4649-94D3-9EB4265CD69B}" name="Store"/>
    <tableColumn id="2" xr3:uid="{BC2EAB68-2F4C-45EA-8A26-2A153ACDE5AF}" name="Monthly 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F11" sqref="F11"/>
    </sheetView>
  </sheetViews>
  <sheetFormatPr defaultRowHeight="15" x14ac:dyDescent="0.25"/>
  <cols>
    <col min="2" max="2" width="15.7109375" customWidth="1"/>
    <col min="4" max="4" width="28.7109375" bestFit="1" customWidth="1"/>
  </cols>
  <sheetData>
    <row r="1" spans="1:5" x14ac:dyDescent="0.25">
      <c r="A1" t="s">
        <v>0</v>
      </c>
      <c r="B1" t="s">
        <v>1</v>
      </c>
      <c r="D1" t="s">
        <v>14</v>
      </c>
      <c r="E1" s="1">
        <f>AVERAGE(Table1[Monthly Sales])</f>
        <v>49.416666666666664</v>
      </c>
    </row>
    <row r="2" spans="1:5" x14ac:dyDescent="0.25">
      <c r="A2" t="s">
        <v>2</v>
      </c>
      <c r="B2">
        <v>51</v>
      </c>
      <c r="D2" t="s">
        <v>15</v>
      </c>
      <c r="E2">
        <f>MEDIAN(Table1[Monthly Sales])</f>
        <v>47.5</v>
      </c>
    </row>
    <row r="3" spans="1:5" x14ac:dyDescent="0.25">
      <c r="A3" t="s">
        <v>3</v>
      </c>
      <c r="B3">
        <v>44</v>
      </c>
      <c r="D3" t="s">
        <v>16</v>
      </c>
      <c r="E3">
        <f>_xlfn.MODE.SNGL(Table1[Monthly Sales])</f>
        <v>46</v>
      </c>
    </row>
    <row r="4" spans="1:5" x14ac:dyDescent="0.25">
      <c r="A4" t="s">
        <v>4</v>
      </c>
      <c r="B4">
        <v>49</v>
      </c>
      <c r="D4" t="s">
        <v>17</v>
      </c>
      <c r="E4">
        <f>MAX(Table1[Monthly Sales])-MIN(Table1[Monthly Sales])</f>
        <v>29</v>
      </c>
    </row>
    <row r="5" spans="1:5" x14ac:dyDescent="0.25">
      <c r="A5" t="s">
        <v>5</v>
      </c>
      <c r="B5">
        <v>46</v>
      </c>
      <c r="D5" t="s">
        <v>18</v>
      </c>
      <c r="E5" s="1">
        <f>+_xlfn.STDEV.S(Table1[Monthly Sales])</f>
        <v>7.6331613054586773</v>
      </c>
    </row>
    <row r="6" spans="1:5" x14ac:dyDescent="0.25">
      <c r="A6" t="s">
        <v>6</v>
      </c>
      <c r="B6">
        <v>52</v>
      </c>
      <c r="D6" t="s">
        <v>19</v>
      </c>
      <c r="E6" s="1">
        <f>_xlfn.STDEV.S(B2:B8,B10:B13)</f>
        <v>2.9076701075853588</v>
      </c>
    </row>
    <row r="7" spans="1:5" x14ac:dyDescent="0.25">
      <c r="A7" t="s">
        <v>7</v>
      </c>
      <c r="B7">
        <v>47</v>
      </c>
    </row>
    <row r="8" spans="1:5" x14ac:dyDescent="0.25">
      <c r="A8" t="s">
        <v>8</v>
      </c>
      <c r="B8">
        <v>45</v>
      </c>
    </row>
    <row r="9" spans="1:5" x14ac:dyDescent="0.25">
      <c r="A9" t="s">
        <v>9</v>
      </c>
      <c r="B9">
        <v>72</v>
      </c>
    </row>
    <row r="10" spans="1:5" x14ac:dyDescent="0.25">
      <c r="A10" t="s">
        <v>10</v>
      </c>
      <c r="B10">
        <v>43</v>
      </c>
    </row>
    <row r="11" spans="1:5" x14ac:dyDescent="0.25">
      <c r="A11" t="s">
        <v>11</v>
      </c>
      <c r="B11">
        <v>48</v>
      </c>
    </row>
    <row r="12" spans="1:5" x14ac:dyDescent="0.25">
      <c r="A12" t="s">
        <v>12</v>
      </c>
      <c r="B12">
        <v>46</v>
      </c>
    </row>
    <row r="13" spans="1:5" x14ac:dyDescent="0.25">
      <c r="A13" t="s">
        <v>13</v>
      </c>
      <c r="B13">
        <v>50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6B0B3-CFCF-4B89-8172-1972EB5AD7F7}">
  <dimension ref="A1"/>
  <sheetViews>
    <sheetView workbookViewId="0">
      <selection activeCell="J20" sqref="J20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Store_Data</vt:lpstr>
      <vt:lpstr>Store_Summary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onur karaer</dc:creator>
  <cp:lastModifiedBy>onur karaer</cp:lastModifiedBy>
  <dcterms:created xsi:type="dcterms:W3CDTF">2015-06-05T18:17:20Z</dcterms:created>
  <dcterms:modified xsi:type="dcterms:W3CDTF">2026-03-25T17:42:57Z</dcterms:modified>
</cp:coreProperties>
</file>
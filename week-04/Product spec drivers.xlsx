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nurkaraer\Documents\DataAnalytics\week-04\"/>
    </mc:Choice>
  </mc:AlternateContent>
  <xr:revisionPtr revIDLastSave="0" documentId="13_ncr:1_{B87C13D1-A721-42C7-B270-1B4C0CA23138}" xr6:coauthVersionLast="47" xr6:coauthVersionMax="47" xr10:uidLastSave="{00000000-0000-0000-0000-000000000000}"/>
  <bookViews>
    <workbookView xWindow="-120" yWindow="-120" windowWidth="29040" windowHeight="15720" xr2:uid="{D8F0F0BB-ED70-4734-8BAC-5D910C08C423}"/>
  </bookViews>
  <sheets>
    <sheet name="Sheet1" sheetId="2" r:id="rId1"/>
    <sheet name="data-1777491838302" sheetId="1" r:id="rId2"/>
  </sheets>
  <calcPr calcId="191029"/>
  <pivotCaches>
    <pivotCache cacheId="19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2" l="1"/>
  <c r="D18" i="2"/>
  <c r="D19" i="2"/>
  <c r="D20" i="2"/>
</calcChain>
</file>

<file path=xl/sharedStrings.xml><?xml version="1.0" encoding="utf-8"?>
<sst xmlns="http://schemas.openxmlformats.org/spreadsheetml/2006/main" count="144" uniqueCount="102">
  <si>
    <t>item_description</t>
  </si>
  <si>
    <t>item_no</t>
  </si>
  <si>
    <t>pack</t>
  </si>
  <si>
    <t>inner_pack</t>
  </si>
  <si>
    <t>proof</t>
  </si>
  <si>
    <t>bottle_size</t>
  </si>
  <si>
    <t>total_revenue</t>
  </si>
  <si>
    <t>Grey Goose Vodka</t>
  </si>
  <si>
    <t>Bacardi Superior Rum</t>
  </si>
  <si>
    <t>Bacardi Limon</t>
  </si>
  <si>
    <t>Bombay Sapphire Gin</t>
  </si>
  <si>
    <t>Dewar's White Label Scotch</t>
  </si>
  <si>
    <t>Bacardi Gold Rum</t>
  </si>
  <si>
    <t>Bacardi Superior Rum Pet</t>
  </si>
  <si>
    <t>Bacardi Superior PET</t>
  </si>
  <si>
    <t>Castillo Silver Rum</t>
  </si>
  <si>
    <t>Bacardi 151 Proof Rum</t>
  </si>
  <si>
    <t>Bacardi Dragon Berry</t>
  </si>
  <si>
    <t>Bacardi Oakheart</t>
  </si>
  <si>
    <t>Drambuie Liqueur</t>
  </si>
  <si>
    <t>St. Germain</t>
  </si>
  <si>
    <t>Bacardi O</t>
  </si>
  <si>
    <t>Grey Goose w/2 Glasses &amp; Shaker</t>
  </si>
  <si>
    <t>Bacardi Superior Rum Mini</t>
  </si>
  <si>
    <t>Cazadores Reposado</t>
  </si>
  <si>
    <t>B&amp;b D.o.m.</t>
  </si>
  <si>
    <t>Bacardi Torched Cherry</t>
  </si>
  <si>
    <t>Bacardi Select Rum</t>
  </si>
  <si>
    <t>Bombay Dry Gin</t>
  </si>
  <si>
    <t>Bacardi Pineapple Fusion</t>
  </si>
  <si>
    <t>Grey Goose Vodka Mini</t>
  </si>
  <si>
    <t>Bacardi Black Razz</t>
  </si>
  <si>
    <t>Bacardi Mango Fusion</t>
  </si>
  <si>
    <t>Grey Goose Cherry Noir</t>
  </si>
  <si>
    <t>Bacardi Peach Red</t>
  </si>
  <si>
    <t>Bacardi Gold Rum Pet</t>
  </si>
  <si>
    <t>Grey Goose Le Melon</t>
  </si>
  <si>
    <t>Dewar's 12yr</t>
  </si>
  <si>
    <t>Grey Goose Vodka L'orange</t>
  </si>
  <si>
    <t>Bacardi Gold Rum Mini</t>
  </si>
  <si>
    <t>Bacardi Party Drinks Bahama Mama</t>
  </si>
  <si>
    <t>Bacardi Party Drinks Zombie</t>
  </si>
  <si>
    <t>Bacardi Party Drinks Rum Island Iced Tea</t>
  </si>
  <si>
    <t>Bombay Sapphire East</t>
  </si>
  <si>
    <t>Cazadores Anejo</t>
  </si>
  <si>
    <t>Bacardi Classic Cocktails Mojito</t>
  </si>
  <si>
    <t>Grey Goose Le Citron</t>
  </si>
  <si>
    <t>Bacardi Party Drinks Hurricane</t>
  </si>
  <si>
    <t>Bacardi Classic Cocktails Strawberry Daiquiri</t>
  </si>
  <si>
    <t>Grey Goose Night Vision</t>
  </si>
  <si>
    <t>Bacardi Wolf Berry</t>
  </si>
  <si>
    <t>Grey Goose La Poire Vodka</t>
  </si>
  <si>
    <t>Bacardi 8 Rum</t>
  </si>
  <si>
    <t>Bacardi Arctic Grape Liqueur</t>
  </si>
  <si>
    <t>Bacardi Gold Rum PET</t>
  </si>
  <si>
    <t>Dewar's Highlander Honey</t>
  </si>
  <si>
    <t>D'usse VSOP</t>
  </si>
  <si>
    <t>Bacardi Mango Fusion Mini</t>
  </si>
  <si>
    <t>Castillo Spiced Rum</t>
  </si>
  <si>
    <t>Dewars White Label Scotch</t>
  </si>
  <si>
    <t>Bacardi Oakheart Mini</t>
  </si>
  <si>
    <t>Drambuie w/Pitcher</t>
  </si>
  <si>
    <t>Bacardi Oakheart w/Stein</t>
  </si>
  <si>
    <t>Bacardi Dragon Berry PET</t>
  </si>
  <si>
    <t>Bacardi Cocktails Strawberry Daiquiri Light</t>
  </si>
  <si>
    <t>St. Germain w/Carafe</t>
  </si>
  <si>
    <t>Bacardi Pineapple Fusion PET</t>
  </si>
  <si>
    <t>Bacardi Oakheart PET</t>
  </si>
  <si>
    <t>Benedictine Liqueur Dom</t>
  </si>
  <si>
    <t>Grey Goose Le Melon Mini</t>
  </si>
  <si>
    <t>Bombay Original Gin</t>
  </si>
  <si>
    <t>Bacardi 1873 Solera</t>
  </si>
  <si>
    <t>Bacardi Anejo Mex Rum</t>
  </si>
  <si>
    <t>Bacardi Grand Melon Rum</t>
  </si>
  <si>
    <t>Bacardi 8 Gift Box</t>
  </si>
  <si>
    <t>St. Germain Mini</t>
  </si>
  <si>
    <t>Bacardi 8 w/2 Glasses</t>
  </si>
  <si>
    <t>Corzo Anejo Tequila</t>
  </si>
  <si>
    <t>Cazadores Blanco</t>
  </si>
  <si>
    <t>St Germain</t>
  </si>
  <si>
    <t>Bacardi Rock Coconut</t>
  </si>
  <si>
    <t>Nassau Royale</t>
  </si>
  <si>
    <t>Bacardi Dragonberry</t>
  </si>
  <si>
    <t>Grey Goose Le Citron Mini</t>
  </si>
  <si>
    <t>Bombay Sapphire Gin Minis</t>
  </si>
  <si>
    <t>Grey Goose La Poire Mini</t>
  </si>
  <si>
    <t>Oxley Dry Gin</t>
  </si>
  <si>
    <t>Bacardi Coco</t>
  </si>
  <si>
    <t>Dewar's White Label Scotch Mini</t>
  </si>
  <si>
    <t>Bacardi Big Apple Rum</t>
  </si>
  <si>
    <t>Grey Goose L'Orange</t>
  </si>
  <si>
    <t>Grey Goose La Poire</t>
  </si>
  <si>
    <t>Castillo Gold Rum</t>
  </si>
  <si>
    <t>Bacardi O Rum</t>
  </si>
  <si>
    <t>Bacardi Black Razz Miniature</t>
  </si>
  <si>
    <t>Bacardi Rum Runner</t>
  </si>
  <si>
    <t>Row Labels</t>
  </si>
  <si>
    <t>Grand Total</t>
  </si>
  <si>
    <t>Sum of total_revenue</t>
  </si>
  <si>
    <t>Count of item_description</t>
  </si>
  <si>
    <t>AvgRevPerProdBottleSize</t>
  </si>
  <si>
    <t>Bottle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</si>
</sst>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44" formatCode="_(&quot;$&quot;* #,##0.00_);_(&quot;$&quot;* \(#,##0.00\);_(&quot;$&quot;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7">
    <xf numFmtId="0" fontId="0" fillId="0" borderId="0" xfId="0"/>
    <xf numFmtId="8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44" fontId="0" fillId="0" borderId="0" xfId="42" applyFont="1"/>
    <xf numFmtId="49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2" formatCode="&quot;$&quot;#,##0.00_);[Red]\(&quot;$&quot;#,##0.0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#</a:t>
            </a:r>
            <a:r>
              <a:rPr lang="en-US" baseline="0"/>
              <a:t> of SKUs and Revenues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Sheet1!$A$16</c:f>
              <c:strCache>
                <c:ptCount val="1"/>
                <c:pt idx="0">
                  <c:v>Bottle Size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Sheet1!$A$17:$A$20</c:f>
              <c:numCache>
                <c:formatCode>@</c:formatCode>
                <c:ptCount val="4"/>
                <c:pt idx="0">
                  <c:v>375</c:v>
                </c:pt>
                <c:pt idx="1">
                  <c:v>1750</c:v>
                </c:pt>
                <c:pt idx="2">
                  <c:v>750</c:v>
                </c:pt>
                <c:pt idx="3">
                  <c:v>1000</c:v>
                </c:pt>
              </c:numCache>
            </c:numRef>
          </c:cat>
          <c:val>
            <c:numRef>
              <c:f>Sheet1!$A$17:$A$20</c:f>
              <c:numCache>
                <c:formatCode>@</c:formatCode>
                <c:ptCount val="4"/>
                <c:pt idx="0">
                  <c:v>375</c:v>
                </c:pt>
                <c:pt idx="1">
                  <c:v>1750</c:v>
                </c:pt>
                <c:pt idx="2">
                  <c:v>750</c:v>
                </c:pt>
                <c:pt idx="3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C-4768-B9E3-1190951FB640}"/>
            </c:ext>
          </c:extLst>
        </c:ser>
        <c:ser>
          <c:idx val="2"/>
          <c:order val="2"/>
          <c:tx>
            <c:strRef>
              <c:f>Sheet1!$D$16</c:f>
              <c:strCache>
                <c:ptCount val="1"/>
                <c:pt idx="0">
                  <c:v>AvgRevPerProdBottleSize</c:v>
                </c:pt>
              </c:strCache>
            </c:strRef>
          </c:tx>
          <c:spPr>
            <a:solidFill>
              <a:schemeClr val="accent3"/>
            </a:solidFill>
            <a:ln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</a:ln>
            <a:effectLst/>
          </c:spPr>
          <c:invertIfNegative val="0"/>
          <c:cat>
            <c:numRef>
              <c:f>Sheet1!$A$17:$A$20</c:f>
              <c:numCache>
                <c:formatCode>@</c:formatCode>
                <c:ptCount val="4"/>
                <c:pt idx="0">
                  <c:v>375</c:v>
                </c:pt>
                <c:pt idx="1">
                  <c:v>1750</c:v>
                </c:pt>
                <c:pt idx="2">
                  <c:v>750</c:v>
                </c:pt>
                <c:pt idx="3">
                  <c:v>1000</c:v>
                </c:pt>
              </c:numCache>
            </c:numRef>
          </c:cat>
          <c:val>
            <c:numRef>
              <c:f>Sheet1!$D$17:$D$20</c:f>
              <c:numCache>
                <c:formatCode>_("$"* #,##0.00_);_("$"* \(#,##0.00\);_("$"* "-"??_);_(@_)</c:formatCode>
                <c:ptCount val="4"/>
                <c:pt idx="0">
                  <c:v>78826.224545454548</c:v>
                </c:pt>
                <c:pt idx="1">
                  <c:v>194508.03454545455</c:v>
                </c:pt>
                <c:pt idx="2">
                  <c:v>139166.74113207549</c:v>
                </c:pt>
                <c:pt idx="3">
                  <c:v>361530.00727272726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C-4768-B9E3-1190951FB6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26220095"/>
        <c:axId val="1026203775"/>
      </c:barChart>
      <c:lineChart>
        <c:grouping val="standard"/>
        <c:varyColors val="0"/>
        <c:ser>
          <c:idx val="1"/>
          <c:order val="1"/>
          <c:tx>
            <c:strRef>
              <c:f>Sheet1!$C$16</c:f>
              <c:strCache>
                <c:ptCount val="1"/>
                <c:pt idx="0">
                  <c:v>Count of item_description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Sheet1!$C$17:$C$20</c:f>
              <c:numCache>
                <c:formatCode>General</c:formatCode>
                <c:ptCount val="4"/>
                <c:pt idx="0">
                  <c:v>11</c:v>
                </c:pt>
                <c:pt idx="1">
                  <c:v>22</c:v>
                </c:pt>
                <c:pt idx="2">
                  <c:v>53</c:v>
                </c:pt>
                <c:pt idx="3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EDC-4768-B9E3-1190951FB6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6214815"/>
        <c:axId val="1026216255"/>
      </c:lineChart>
      <c:catAx>
        <c:axId val="1026220095"/>
        <c:scaling>
          <c:orientation val="minMax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6203775"/>
        <c:crosses val="autoZero"/>
        <c:auto val="1"/>
        <c:lblAlgn val="ctr"/>
        <c:lblOffset val="100"/>
        <c:noMultiLvlLbl val="0"/>
      </c:catAx>
      <c:valAx>
        <c:axId val="1026203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6220095"/>
        <c:crosses val="autoZero"/>
        <c:crossBetween val="between"/>
      </c:valAx>
      <c:valAx>
        <c:axId val="1026216255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6214815"/>
        <c:crosses val="max"/>
        <c:crossBetween val="between"/>
      </c:valAx>
      <c:catAx>
        <c:axId val="1026214815"/>
        <c:scaling>
          <c:orientation val="minMax"/>
        </c:scaling>
        <c:delete val="1"/>
        <c:axPos val="b"/>
        <c:majorTickMark val="out"/>
        <c:minorTickMark val="none"/>
        <c:tickLblPos val="nextTo"/>
        <c:crossAx val="1026216255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204787</xdr:colOff>
      <xdr:row>11</xdr:row>
      <xdr:rowOff>100012</xdr:rowOff>
    </xdr:from>
    <xdr:to>
      <xdr:col>13</xdr:col>
      <xdr:colOff>509587</xdr:colOff>
      <xdr:row>26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F4C701A-64B8-59C7-8E0F-99D6C0915F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nur karaer" refreshedDate="46142.580971990741" createdVersion="8" refreshedVersion="8" minRefreshableVersion="3" recordCount="129" xr:uid="{E54813E3-2C5E-4C09-8A98-253DDBF5C65E}">
  <cacheSource type="worksheet">
    <worksheetSource name="Table1"/>
  </cacheSource>
  <cacheFields count="7">
    <cacheField name="item_description" numFmtId="0">
      <sharedItems/>
    </cacheField>
    <cacheField name="item_no" numFmtId="0">
      <sharedItems containsSemiMixedTypes="0" containsString="0" containsNumber="1" containsInteger="1" minValue="1649" maxValue="943367"/>
    </cacheField>
    <cacheField name="pack" numFmtId="0">
      <sharedItems containsSemiMixedTypes="0" containsString="0" containsNumber="1" containsInteger="1" minValue="3" maxValue="120"/>
    </cacheField>
    <cacheField name="inner_pack" numFmtId="0">
      <sharedItems containsSemiMixedTypes="0" containsString="0" containsNumber="1" containsInteger="1" minValue="1" maxValue="12"/>
    </cacheField>
    <cacheField name="proof" numFmtId="0">
      <sharedItems containsSemiMixedTypes="0" containsString="0" containsNumber="1" containsInteger="1" minValue="20" maxValue="151"/>
    </cacheField>
    <cacheField name="bottle_size" numFmtId="0">
      <sharedItems containsSemiMixedTypes="0" containsString="0" containsNumber="1" containsInteger="1" minValue="50" maxValue="1750" count="10">
        <n v="1750"/>
        <n v="50"/>
        <n v="200"/>
        <n v="1000"/>
        <n v="100"/>
        <n v="603"/>
        <n v="750"/>
        <n v="375"/>
        <n v="600"/>
        <n v="500"/>
      </sharedItems>
    </cacheField>
    <cacheField name="total_revenue" numFmtId="8">
      <sharedItems containsSemiMixedTypes="0" containsString="0" containsNumber="1" minValue="62.82" maxValue="3153668.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">
  <r>
    <s v="Bacardi Rum Runner"/>
    <n v="904449"/>
    <n v="6"/>
    <n v="1"/>
    <n v="25"/>
    <x v="0"/>
    <n v="62.82"/>
  </r>
  <r>
    <s v="Bacardi Limon"/>
    <n v="943131"/>
    <n v="12"/>
    <n v="10"/>
    <n v="70"/>
    <x v="1"/>
    <n v="98.52"/>
  </r>
  <r>
    <s v="Bacardi Black Razz Miniature"/>
    <n v="943259"/>
    <n v="120"/>
    <n v="1"/>
    <n v="70"/>
    <x v="1"/>
    <n v="99.6"/>
  </r>
  <r>
    <s v="Bacardi O Rum"/>
    <n v="902205"/>
    <n v="24"/>
    <n v="1"/>
    <n v="80"/>
    <x v="2"/>
    <n v="111.84"/>
  </r>
  <r>
    <s v="Bombay Sapphire Gin"/>
    <n v="28223"/>
    <n v="12"/>
    <n v="1"/>
    <n v="94"/>
    <x v="2"/>
    <n v="143.76"/>
  </r>
  <r>
    <s v="Bacardi Torched Cherry"/>
    <n v="943199"/>
    <n v="6"/>
    <n v="1"/>
    <n v="70"/>
    <x v="0"/>
    <n v="144"/>
  </r>
  <r>
    <s v="Castillo Gold Rum"/>
    <n v="943357"/>
    <n v="12"/>
    <n v="1"/>
    <n v="80"/>
    <x v="3"/>
    <n v="176.16"/>
  </r>
  <r>
    <s v="Grey Goose Le Citron"/>
    <n v="934266"/>
    <n v="6"/>
    <n v="1"/>
    <n v="80"/>
    <x v="3"/>
    <n v="198"/>
  </r>
  <r>
    <s v="Grey Goose Le Melon"/>
    <n v="933673"/>
    <n v="6"/>
    <n v="1"/>
    <n v="80"/>
    <x v="3"/>
    <n v="198"/>
  </r>
  <r>
    <s v="Grey Goose L'Orange"/>
    <n v="934437"/>
    <n v="6"/>
    <n v="1"/>
    <n v="80"/>
    <x v="3"/>
    <n v="198"/>
  </r>
  <r>
    <s v="Grey Goose La Poire"/>
    <n v="934603"/>
    <n v="6"/>
    <n v="1"/>
    <n v="80"/>
    <x v="3"/>
    <n v="198"/>
  </r>
  <r>
    <s v="Bombay Sapphire Gin"/>
    <n v="928223"/>
    <n v="12"/>
    <n v="1"/>
    <n v="94"/>
    <x v="2"/>
    <n v="216"/>
  </r>
  <r>
    <s v="Bacardi Gold Rum"/>
    <n v="902966"/>
    <n v="48"/>
    <n v="1"/>
    <n v="80"/>
    <x v="4"/>
    <n v="316.8"/>
  </r>
  <r>
    <s v="Bacardi Big Apple Rum"/>
    <n v="904872"/>
    <n v="12"/>
    <n v="1"/>
    <n v="70"/>
    <x v="3"/>
    <n v="378"/>
  </r>
  <r>
    <s v="Castillo Spiced Rum"/>
    <n v="943367"/>
    <n v="12"/>
    <n v="1"/>
    <n v="70"/>
    <x v="3"/>
    <n v="440.4"/>
  </r>
  <r>
    <s v="Cazadores Reposado"/>
    <n v="904808"/>
    <n v="6"/>
    <n v="1"/>
    <n v="80"/>
    <x v="0"/>
    <n v="528.72"/>
  </r>
  <r>
    <s v="Dewar's White Label Scotch Mini"/>
    <n v="902365"/>
    <n v="10"/>
    <n v="12"/>
    <n v="86"/>
    <x v="5"/>
    <n v="537.9"/>
  </r>
  <r>
    <s v="Bacardi Coco"/>
    <n v="904541"/>
    <n v="12"/>
    <n v="1"/>
    <n v="70"/>
    <x v="6"/>
    <n v="600"/>
  </r>
  <r>
    <s v="Dewars White Label Scotch"/>
    <n v="902835"/>
    <n v="48"/>
    <n v="1"/>
    <n v="80"/>
    <x v="2"/>
    <n v="624"/>
  </r>
  <r>
    <s v="Bombay Sapphire Gin"/>
    <n v="902979"/>
    <n v="12"/>
    <n v="1"/>
    <n v="80"/>
    <x v="7"/>
    <n v="682.08"/>
  </r>
  <r>
    <s v="Bacardi Pineapple Fusion"/>
    <n v="43142"/>
    <n v="12"/>
    <n v="1"/>
    <n v="70"/>
    <x v="7"/>
    <n v="810"/>
  </r>
  <r>
    <s v="Oxley Dry Gin"/>
    <n v="927957"/>
    <n v="6"/>
    <n v="1"/>
    <n v="94"/>
    <x v="3"/>
    <n v="900"/>
  </r>
  <r>
    <s v="Bacardi Mango Fusion"/>
    <n v="43092"/>
    <n v="12"/>
    <n v="1"/>
    <n v="70"/>
    <x v="7"/>
    <n v="1014"/>
  </r>
  <r>
    <s v="Bombay Sapphire Gin Minis"/>
    <n v="902282"/>
    <n v="10"/>
    <n v="12"/>
    <n v="94"/>
    <x v="1"/>
    <n v="1200"/>
  </r>
  <r>
    <s v="Grey Goose La Poire Mini"/>
    <n v="34684"/>
    <n v="10"/>
    <n v="12"/>
    <n v="80"/>
    <x v="8"/>
    <n v="1200"/>
  </r>
  <r>
    <s v="Grey Goose Le Citron Mini"/>
    <n v="34269"/>
    <n v="10"/>
    <n v="12"/>
    <n v="80"/>
    <x v="8"/>
    <n v="1260"/>
  </r>
  <r>
    <s v="Bacardi Dragonberry"/>
    <n v="43052"/>
    <n v="12"/>
    <n v="1"/>
    <n v="70"/>
    <x v="7"/>
    <n v="1266"/>
  </r>
  <r>
    <s v="Nassau Royale"/>
    <n v="904642"/>
    <n v="12"/>
    <n v="1"/>
    <n v="68"/>
    <x v="3"/>
    <n v="1346.88"/>
  </r>
  <r>
    <s v="Bacardi Rock Coconut"/>
    <n v="943183"/>
    <n v="12"/>
    <n v="1"/>
    <n v="70"/>
    <x v="6"/>
    <n v="1500"/>
  </r>
  <r>
    <s v="St Germain"/>
    <n v="66834"/>
    <n v="12"/>
    <n v="1"/>
    <n v="40"/>
    <x v="2"/>
    <n v="1695.75"/>
  </r>
  <r>
    <s v="Cazadores Blanco"/>
    <n v="904000"/>
    <n v="12"/>
    <n v="1"/>
    <n v="80"/>
    <x v="6"/>
    <n v="1815.84"/>
  </r>
  <r>
    <s v="Corzo Anejo Tequila"/>
    <n v="902975"/>
    <n v="6"/>
    <n v="1"/>
    <n v="80"/>
    <x v="6"/>
    <n v="1951.32"/>
  </r>
  <r>
    <s v="Bacardi 8 w/2 Glasses"/>
    <n v="1649"/>
    <n v="6"/>
    <n v="1"/>
    <n v="80"/>
    <x v="6"/>
    <n v="2126.25"/>
  </r>
  <r>
    <s v="St. Germain Mini"/>
    <n v="66835"/>
    <n v="4"/>
    <n v="12"/>
    <n v="40"/>
    <x v="8"/>
    <n v="2207.52"/>
  </r>
  <r>
    <s v="Bacardi 8 Gift Box"/>
    <n v="4071"/>
    <n v="6"/>
    <n v="1"/>
    <n v="80"/>
    <x v="6"/>
    <n v="2268"/>
  </r>
  <r>
    <s v="Bacardi Grand Melon Rum"/>
    <n v="904512"/>
    <n v="12"/>
    <n v="1"/>
    <n v="70"/>
    <x v="3"/>
    <n v="2396.16"/>
  </r>
  <r>
    <s v="Bacardi Anejo Mex Rum"/>
    <n v="903796"/>
    <n v="12"/>
    <n v="1"/>
    <n v="80"/>
    <x v="6"/>
    <n v="2512.08"/>
  </r>
  <r>
    <s v="Bacardi 1873 Solera"/>
    <n v="903331"/>
    <n v="12"/>
    <n v="1"/>
    <n v="80"/>
    <x v="6"/>
    <n v="2609.2800000000002"/>
  </r>
  <r>
    <s v="Bombay Original Gin"/>
    <n v="28208"/>
    <n v="6"/>
    <n v="1"/>
    <n v="86"/>
    <x v="0"/>
    <n v="2921.25"/>
  </r>
  <r>
    <s v="Grey Goose Le Melon Mini"/>
    <n v="33670"/>
    <n v="10"/>
    <n v="12"/>
    <n v="80"/>
    <x v="8"/>
    <n v="3090"/>
  </r>
  <r>
    <s v="Benedictine Liqueur Dom"/>
    <n v="902243"/>
    <n v="12"/>
    <n v="1"/>
    <n v="80"/>
    <x v="6"/>
    <n v="3483"/>
  </r>
  <r>
    <s v="Bacardi Oakheart PET"/>
    <n v="43204"/>
    <n v="12"/>
    <n v="1"/>
    <n v="70"/>
    <x v="6"/>
    <n v="3832.5"/>
  </r>
  <r>
    <s v="Bacardi Pineapple Fusion PET"/>
    <n v="43135"/>
    <n v="12"/>
    <n v="1"/>
    <n v="70"/>
    <x v="6"/>
    <n v="3912"/>
  </r>
  <r>
    <s v="St. Germain w/Carafe"/>
    <n v="3891"/>
    <n v="6"/>
    <n v="1"/>
    <n v="40"/>
    <x v="6"/>
    <n v="3948.75"/>
  </r>
  <r>
    <s v="Bacardi Cocktails Strawberry Daiquiri Light"/>
    <n v="56870"/>
    <n v="6"/>
    <n v="1"/>
    <n v="30"/>
    <x v="0"/>
    <n v="4272"/>
  </r>
  <r>
    <s v="Grey Goose Cherry Noir"/>
    <n v="35933"/>
    <n v="12"/>
    <n v="1"/>
    <n v="80"/>
    <x v="7"/>
    <n v="5533.2"/>
  </r>
  <r>
    <s v="Bacardi Dragon Berry PET"/>
    <n v="43055"/>
    <n v="12"/>
    <n v="1"/>
    <n v="70"/>
    <x v="6"/>
    <n v="6084"/>
  </r>
  <r>
    <s v="Bacardi Oakheart w/Stein"/>
    <n v="3326"/>
    <n v="6"/>
    <n v="1"/>
    <n v="70"/>
    <x v="6"/>
    <n v="8046"/>
  </r>
  <r>
    <s v="Drambuie w/Pitcher"/>
    <n v="4079"/>
    <n v="6"/>
    <n v="1"/>
    <n v="80"/>
    <x v="6"/>
    <n v="8640"/>
  </r>
  <r>
    <s v="Bacardi Oakheart Mini"/>
    <n v="43201"/>
    <n v="12"/>
    <n v="10"/>
    <n v="70"/>
    <x v="9"/>
    <n v="9719.58"/>
  </r>
  <r>
    <s v="D'usse VSOP"/>
    <n v="47863"/>
    <n v="12"/>
    <n v="1"/>
    <n v="80"/>
    <x v="7"/>
    <n v="10367.73"/>
  </r>
  <r>
    <s v="Dewars White Label Scotch"/>
    <n v="4864"/>
    <n v="24"/>
    <n v="1"/>
    <n v="80"/>
    <x v="7"/>
    <n v="10577.98"/>
  </r>
  <r>
    <s v="Castillo Spiced Rum"/>
    <n v="43366"/>
    <n v="12"/>
    <n v="1"/>
    <n v="70"/>
    <x v="6"/>
    <n v="12305.28"/>
  </r>
  <r>
    <s v="Bacardi Mango Fusion Mini"/>
    <n v="43089"/>
    <n v="12"/>
    <n v="10"/>
    <n v="70"/>
    <x v="9"/>
    <n v="13755.22"/>
  </r>
  <r>
    <s v="D'usse VSOP"/>
    <n v="47865"/>
    <n v="6"/>
    <n v="1"/>
    <n v="80"/>
    <x v="6"/>
    <n v="16272"/>
  </r>
  <r>
    <s v="Dewar's Highlander Honey"/>
    <n v="64888"/>
    <n v="12"/>
    <n v="1"/>
    <n v="80"/>
    <x v="6"/>
    <n v="16454.48"/>
  </r>
  <r>
    <s v="Bacardi Gold Rum PET"/>
    <n v="43040"/>
    <n v="6"/>
    <n v="1"/>
    <n v="80"/>
    <x v="0"/>
    <n v="18327"/>
  </r>
  <r>
    <s v="Bacardi Arctic Grape Liqueur"/>
    <n v="43163"/>
    <n v="12"/>
    <n v="1"/>
    <n v="70"/>
    <x v="6"/>
    <n v="19786.560000000001"/>
  </r>
  <r>
    <s v="Bacardi Limon"/>
    <n v="43134"/>
    <n v="12"/>
    <n v="1"/>
    <n v="70"/>
    <x v="7"/>
    <n v="23794.12"/>
  </r>
  <r>
    <s v="Bacardi 8 Rum"/>
    <n v="42370"/>
    <n v="12"/>
    <n v="1"/>
    <n v="80"/>
    <x v="6"/>
    <n v="24396.51"/>
  </r>
  <r>
    <s v="Bacardi Torched Cherry"/>
    <n v="43198"/>
    <n v="12"/>
    <n v="1"/>
    <n v="70"/>
    <x v="3"/>
    <n v="24792.83"/>
  </r>
  <r>
    <s v="Grey Goose La Poire Vodka"/>
    <n v="34605"/>
    <n v="6"/>
    <n v="1"/>
    <n v="80"/>
    <x v="6"/>
    <n v="25215.66"/>
  </r>
  <r>
    <s v="Bacardi Wolf Berry"/>
    <n v="43210"/>
    <n v="12"/>
    <n v="1"/>
    <n v="70"/>
    <x v="6"/>
    <n v="25660.25"/>
  </r>
  <r>
    <s v="Grey Goose Night Vision"/>
    <n v="4029"/>
    <n v="6"/>
    <n v="1"/>
    <n v="80"/>
    <x v="3"/>
    <n v="28314"/>
  </r>
  <r>
    <s v="Bacardi Classic Cocktails Strawberry Daiquiri"/>
    <n v="57092"/>
    <n v="6"/>
    <n v="1"/>
    <n v="30"/>
    <x v="0"/>
    <n v="29295.5"/>
  </r>
  <r>
    <s v="Castillo Silver Rum"/>
    <n v="43386"/>
    <n v="12"/>
    <n v="1"/>
    <n v="80"/>
    <x v="6"/>
    <n v="30463.68"/>
  </r>
  <r>
    <s v="Bacardi Party Drinks Hurricane"/>
    <n v="56840"/>
    <n v="6"/>
    <n v="1"/>
    <n v="25"/>
    <x v="0"/>
    <n v="32372.86"/>
  </r>
  <r>
    <s v="Grey Goose Le Citron"/>
    <n v="34267"/>
    <n v="6"/>
    <n v="1"/>
    <n v="80"/>
    <x v="6"/>
    <n v="33204.78"/>
  </r>
  <r>
    <s v="Bacardi Classic Cocktails Mojito"/>
    <n v="56828"/>
    <n v="6"/>
    <n v="1"/>
    <n v="30"/>
    <x v="0"/>
    <n v="33608"/>
  </r>
  <r>
    <s v="Cazadores Anejo"/>
    <n v="89099"/>
    <n v="6"/>
    <n v="1"/>
    <n v="80"/>
    <x v="6"/>
    <n v="33763.919999999998"/>
  </r>
  <r>
    <s v="Bombay Sapphire East"/>
    <n v="28210"/>
    <n v="12"/>
    <n v="1"/>
    <n v="84"/>
    <x v="6"/>
    <n v="35767.26"/>
  </r>
  <r>
    <s v="Bacardi Party Drinks Rum Island Iced Tea"/>
    <n v="56846"/>
    <n v="6"/>
    <n v="1"/>
    <n v="25"/>
    <x v="0"/>
    <n v="38765.24"/>
  </r>
  <r>
    <s v="Bacardi Gold Rum"/>
    <n v="43034"/>
    <n v="24"/>
    <n v="1"/>
    <n v="80"/>
    <x v="7"/>
    <n v="40553.96"/>
  </r>
  <r>
    <s v="Bacardi O"/>
    <n v="43116"/>
    <n v="12"/>
    <n v="1"/>
    <n v="70"/>
    <x v="6"/>
    <n v="45446.35"/>
  </r>
  <r>
    <s v="Bacardi Black Razz"/>
    <n v="43263"/>
    <n v="12"/>
    <n v="1"/>
    <n v="70"/>
    <x v="3"/>
    <n v="46035"/>
  </r>
  <r>
    <s v="Bacardi Party Drinks Zombie"/>
    <n v="56843"/>
    <n v="6"/>
    <n v="1"/>
    <n v="25"/>
    <x v="0"/>
    <n v="49953.11"/>
  </r>
  <r>
    <s v="Bacardi Party Drinks Bahama Mama"/>
    <n v="56850"/>
    <n v="6"/>
    <n v="1"/>
    <n v="20"/>
    <x v="0"/>
    <n v="50794.78"/>
  </r>
  <r>
    <s v="Bacardi Gold Rum Mini"/>
    <n v="43031"/>
    <n v="12"/>
    <n v="10"/>
    <n v="80"/>
    <x v="9"/>
    <n v="51945.18"/>
  </r>
  <r>
    <s v="Grey Goose Vodka L'orange"/>
    <n v="34436"/>
    <n v="6"/>
    <n v="1"/>
    <n v="80"/>
    <x v="6"/>
    <n v="52927.92"/>
  </r>
  <r>
    <s v="Dewar's 12yr"/>
    <n v="4876"/>
    <n v="12"/>
    <n v="1"/>
    <n v="80"/>
    <x v="6"/>
    <n v="52946.5"/>
  </r>
  <r>
    <s v="Bacardi Select Rum"/>
    <n v="43048"/>
    <n v="6"/>
    <n v="1"/>
    <n v="80"/>
    <x v="0"/>
    <n v="54906.48"/>
  </r>
  <r>
    <s v="Grey Goose Le Melon"/>
    <n v="33672"/>
    <n v="6"/>
    <n v="1"/>
    <n v="80"/>
    <x v="6"/>
    <n v="55036.160000000003"/>
  </r>
  <r>
    <s v="Bacardi Gold Rum Pet"/>
    <n v="43035"/>
    <n v="12"/>
    <n v="1"/>
    <n v="80"/>
    <x v="6"/>
    <n v="57823.11"/>
  </r>
  <r>
    <s v="Bacardi Peach Red"/>
    <n v="43066"/>
    <n v="12"/>
    <n v="1"/>
    <n v="70"/>
    <x v="6"/>
    <n v="62914.98"/>
  </r>
  <r>
    <s v="Bacardi Superior Rum"/>
    <n v="43123"/>
    <n v="48"/>
    <n v="1"/>
    <n v="80"/>
    <x v="2"/>
    <n v="68842.5"/>
  </r>
  <r>
    <s v="Grey Goose Cherry Noir"/>
    <n v="35934"/>
    <n v="6"/>
    <n v="1"/>
    <n v="80"/>
    <x v="6"/>
    <n v="85910.78"/>
  </r>
  <r>
    <s v="Bacardi Mango Fusion"/>
    <n v="43095"/>
    <n v="12"/>
    <n v="1"/>
    <n v="70"/>
    <x v="6"/>
    <n v="87039.75"/>
  </r>
  <r>
    <s v="Bacardi Black Razz"/>
    <n v="43209"/>
    <n v="12"/>
    <n v="1"/>
    <n v="70"/>
    <x v="6"/>
    <n v="90273.75"/>
  </r>
  <r>
    <s v="Grey Goose Vodka Mini"/>
    <n v="34421"/>
    <n v="10"/>
    <n v="12"/>
    <n v="80"/>
    <x v="8"/>
    <n v="91650"/>
  </r>
  <r>
    <s v="Bacardi Pineapple Fusion"/>
    <n v="43145"/>
    <n v="12"/>
    <n v="1"/>
    <n v="70"/>
    <x v="6"/>
    <n v="93833"/>
  </r>
  <r>
    <s v="Bombay Dry Gin"/>
    <n v="28206"/>
    <n v="12"/>
    <n v="1"/>
    <n v="86"/>
    <x v="6"/>
    <n v="95496.4"/>
  </r>
  <r>
    <s v="Bacardi Select Rum"/>
    <n v="43046"/>
    <n v="12"/>
    <n v="1"/>
    <n v="80"/>
    <x v="6"/>
    <n v="96734.04"/>
  </r>
  <r>
    <s v="Bacardi Torched Cherry"/>
    <n v="43197"/>
    <n v="12"/>
    <n v="1"/>
    <n v="70"/>
    <x v="6"/>
    <n v="99284.27"/>
  </r>
  <r>
    <s v="B&amp;b D.o.m."/>
    <n v="64336"/>
    <n v="12"/>
    <n v="1"/>
    <n v="80"/>
    <x v="6"/>
    <n v="110643.52"/>
  </r>
  <r>
    <s v="Cazadores Reposado"/>
    <n v="89121"/>
    <n v="12"/>
    <n v="1"/>
    <n v="80"/>
    <x v="6"/>
    <n v="130854.39"/>
  </r>
  <r>
    <s v="Castillo Silver Rum"/>
    <n v="43388"/>
    <n v="6"/>
    <n v="1"/>
    <n v="80"/>
    <x v="0"/>
    <n v="133719.92000000001"/>
  </r>
  <r>
    <s v="Bacardi Gold Rum"/>
    <n v="43037"/>
    <n v="12"/>
    <n v="1"/>
    <n v="80"/>
    <x v="3"/>
    <n v="136621.81"/>
  </r>
  <r>
    <s v="Bacardi Dragon Berry"/>
    <n v="43050"/>
    <n v="12"/>
    <n v="1"/>
    <n v="70"/>
    <x v="3"/>
    <n v="142477.51999999999"/>
  </r>
  <r>
    <s v="Bacardi Superior Rum Mini"/>
    <n v="43121"/>
    <n v="12"/>
    <n v="10"/>
    <n v="80"/>
    <x v="9"/>
    <n v="144878.16"/>
  </r>
  <r>
    <s v="Grey Goose w/2 Glasses &amp; Shaker"/>
    <n v="4020"/>
    <n v="3"/>
    <n v="1"/>
    <n v="80"/>
    <x v="0"/>
    <n v="145473.93"/>
  </r>
  <r>
    <s v="Bacardi O"/>
    <n v="43117"/>
    <n v="12"/>
    <n v="1"/>
    <n v="70"/>
    <x v="3"/>
    <n v="173904.78"/>
  </r>
  <r>
    <s v="Bombay Sapphire Gin"/>
    <n v="28238"/>
    <n v="6"/>
    <n v="1"/>
    <n v="94"/>
    <x v="0"/>
    <n v="182396.83"/>
  </r>
  <r>
    <s v="St. Germain"/>
    <n v="66836"/>
    <n v="6"/>
    <n v="1"/>
    <n v="40"/>
    <x v="6"/>
    <n v="187809.75"/>
  </r>
  <r>
    <s v="Drambuie Liqueur"/>
    <n v="64876"/>
    <n v="12"/>
    <n v="1"/>
    <n v="80"/>
    <x v="6"/>
    <n v="188889.60000000001"/>
  </r>
  <r>
    <s v="Bacardi Oakheart"/>
    <n v="43205"/>
    <n v="12"/>
    <n v="1"/>
    <n v="70"/>
    <x v="6"/>
    <n v="191517.39"/>
  </r>
  <r>
    <s v="Bacardi Superior Rum"/>
    <n v="43124"/>
    <n v="24"/>
    <n v="1"/>
    <n v="80"/>
    <x v="7"/>
    <n v="238584.2"/>
  </r>
  <r>
    <s v="Bacardi Limon"/>
    <n v="43138"/>
    <n v="6"/>
    <n v="1"/>
    <n v="70"/>
    <x v="0"/>
    <n v="240530.82"/>
  </r>
  <r>
    <s v="Bacardi Dragon Berry"/>
    <n v="43051"/>
    <n v="12"/>
    <n v="1"/>
    <n v="70"/>
    <x v="6"/>
    <n v="252576.22"/>
  </r>
  <r>
    <s v="Bacardi 151 Proof Rum"/>
    <n v="43156"/>
    <n v="12"/>
    <n v="1"/>
    <n v="151"/>
    <x v="6"/>
    <n v="253154.34"/>
  </r>
  <r>
    <s v="Bacardi Gold Rum"/>
    <n v="43036"/>
    <n v="12"/>
    <n v="1"/>
    <n v="80"/>
    <x v="6"/>
    <n v="262684.98"/>
  </r>
  <r>
    <s v="Dewar's White Label Scotch"/>
    <n v="4866"/>
    <n v="12"/>
    <n v="1"/>
    <n v="80"/>
    <x v="6"/>
    <n v="298422.92"/>
  </r>
  <r>
    <s v="Castillo Silver Rum"/>
    <n v="43387"/>
    <n v="12"/>
    <n v="1"/>
    <n v="80"/>
    <x v="3"/>
    <n v="298479.53999999998"/>
  </r>
  <r>
    <s v="Bacardi Superior PET"/>
    <n v="43120"/>
    <n v="6"/>
    <n v="1"/>
    <n v="80"/>
    <x v="0"/>
    <n v="353430"/>
  </r>
  <r>
    <s v="Grey Goose Vodka"/>
    <n v="34359"/>
    <n v="12"/>
    <n v="1"/>
    <n v="80"/>
    <x v="2"/>
    <n v="355916.22"/>
  </r>
  <r>
    <s v="Dewar's White Label Scotch"/>
    <n v="4868"/>
    <n v="6"/>
    <n v="1"/>
    <n v="80"/>
    <x v="0"/>
    <n v="378470.76"/>
  </r>
  <r>
    <s v="Bombay Sapphire Gin"/>
    <n v="28236"/>
    <n v="12"/>
    <n v="1"/>
    <n v="94"/>
    <x v="6"/>
    <n v="391050.66"/>
  </r>
  <r>
    <s v="Bacardi Superior Rum Pet"/>
    <n v="43125"/>
    <n v="12"/>
    <n v="1"/>
    <n v="80"/>
    <x v="6"/>
    <n v="397117.02"/>
  </r>
  <r>
    <s v="Bacardi Gold Rum"/>
    <n v="43038"/>
    <n v="6"/>
    <n v="1"/>
    <n v="80"/>
    <x v="0"/>
    <n v="397957.9"/>
  </r>
  <r>
    <s v="Grey Goose Vodka"/>
    <n v="34425"/>
    <n v="6"/>
    <n v="1"/>
    <n v="80"/>
    <x v="0"/>
    <n v="427277.34"/>
  </r>
  <r>
    <s v="Bacardi Limon"/>
    <n v="43136"/>
    <n v="12"/>
    <n v="1"/>
    <n v="70"/>
    <x v="6"/>
    <n v="462801.26"/>
  </r>
  <r>
    <s v="Grey Goose Vodka"/>
    <n v="34423"/>
    <n v="12"/>
    <n v="1"/>
    <n v="80"/>
    <x v="7"/>
    <n v="533905.19999999995"/>
  </r>
  <r>
    <s v="Dewar's White Label Scotch"/>
    <n v="4867"/>
    <n v="12"/>
    <n v="1"/>
    <n v="80"/>
    <x v="3"/>
    <n v="568563.84"/>
  </r>
  <r>
    <s v="Bombay Sapphire Gin"/>
    <n v="28233"/>
    <n v="12"/>
    <n v="1"/>
    <n v="94"/>
    <x v="3"/>
    <n v="690740.18"/>
  </r>
  <r>
    <s v="Bacardi Limon"/>
    <n v="43137"/>
    <n v="12"/>
    <n v="1"/>
    <n v="70"/>
    <x v="3"/>
    <n v="771161.8"/>
  </r>
  <r>
    <s v="Bacardi Superior Rum"/>
    <n v="43126"/>
    <n v="12"/>
    <n v="1"/>
    <n v="80"/>
    <x v="6"/>
    <n v="971856.24"/>
  </r>
  <r>
    <s v="Bacardi Superior Rum"/>
    <n v="43128"/>
    <n v="6"/>
    <n v="1"/>
    <n v="80"/>
    <x v="0"/>
    <n v="1703967.5"/>
  </r>
  <r>
    <s v="Bacardi Superior Rum"/>
    <n v="43127"/>
    <n v="12"/>
    <n v="1"/>
    <n v="80"/>
    <x v="3"/>
    <n v="1912471.22"/>
  </r>
  <r>
    <s v="Grey Goose Vodka"/>
    <n v="34433"/>
    <n v="12"/>
    <n v="1"/>
    <n v="80"/>
    <x v="6"/>
    <n v="1974172.58"/>
  </r>
  <r>
    <s v="Grey Goose Vodka"/>
    <n v="34422"/>
    <n v="6"/>
    <n v="1"/>
    <n v="80"/>
    <x v="3"/>
    <n v="3153668.0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EE9EEA-FE89-4EAB-A2AF-E8C2A0F57877}" name="PivotTable8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A3:C14" firstHeaderRow="0" firstDataRow="1" firstDataCol="1"/>
  <pivotFields count="7">
    <pivotField dataField="1" showAll="0"/>
    <pivotField showAll="0"/>
    <pivotField showAll="0"/>
    <pivotField showAll="0"/>
    <pivotField showAll="0"/>
    <pivotField axis="axisRow" showAll="0" sortType="ascending">
      <items count="11">
        <item x="1"/>
        <item x="4"/>
        <item x="2"/>
        <item x="7"/>
        <item x="9"/>
        <item x="8"/>
        <item x="5"/>
        <item x="6"/>
        <item x="3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8" showAll="0"/>
  </pivotFields>
  <rowFields count="1">
    <field x="5"/>
  </rowFields>
  <rowItems count="11">
    <i>
      <x v="1"/>
    </i>
    <i>
      <x v="6"/>
    </i>
    <i>
      <x/>
    </i>
    <i>
      <x v="5"/>
    </i>
    <i>
      <x v="4"/>
    </i>
    <i>
      <x v="2"/>
    </i>
    <i>
      <x v="3"/>
    </i>
    <i>
      <x v="9"/>
    </i>
    <i>
      <x v="7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_revenue" fld="6" baseField="0" baseItem="0" numFmtId="8"/>
    <dataField name="Count of item_description" fld="0" subtotal="count" baseField="5" baseItem="0"/>
  </dataFields>
  <chartFormats count="2"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A4C4A1-6EE1-407A-BE65-28BB61DF4052}" name="Table1" displayName="Table1" ref="A1:G130" totalsRowShown="0">
  <autoFilter ref="A1:G130" xr:uid="{B7A4C4A1-6EE1-407A-BE65-28BB61DF4052}"/>
  <sortState xmlns:xlrd2="http://schemas.microsoft.com/office/spreadsheetml/2017/richdata2" ref="A2:G130">
    <sortCondition ref="G1:G130"/>
  </sortState>
  <tableColumns count="7">
    <tableColumn id="1" xr3:uid="{21F865F4-065A-4762-BB65-BC1467DF1CEB}" name="item_description"/>
    <tableColumn id="2" xr3:uid="{3405EA00-C97B-4F34-841D-220EFF1A268F}" name="item_no"/>
    <tableColumn id="3" xr3:uid="{5FC12F45-BB65-4503-966F-42FD94C22E31}" name="pack"/>
    <tableColumn id="4" xr3:uid="{22B01640-A6C2-4E68-A150-68A2754CDE79}" name="inner_pack"/>
    <tableColumn id="5" xr3:uid="{67D59B02-3C58-4F93-99FA-DB1E733CC7B8}" name="proof"/>
    <tableColumn id="6" xr3:uid="{C81AB8E8-2E01-4D27-A4D3-CAB4717AA9D6}" name="bottle_size"/>
    <tableColumn id="7" xr3:uid="{4886D2BD-901B-4FDA-9B66-69A6EB3A7D35}" name="total_revenu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A6E8F-9E09-4AB2-A225-4EB671B242EB}">
  <dimension ref="A3:D24"/>
  <sheetViews>
    <sheetView tabSelected="1" workbookViewId="0">
      <selection activeCell="O31" sqref="O31"/>
    </sheetView>
  </sheetViews>
  <sheetFormatPr defaultRowHeight="15" x14ac:dyDescent="0.25"/>
  <cols>
    <col min="1" max="1" width="13.42578125" bestFit="1" customWidth="1"/>
    <col min="2" max="2" width="20.42578125" bestFit="1" customWidth="1"/>
    <col min="3" max="3" width="25" bestFit="1" customWidth="1"/>
    <col min="4" max="4" width="33.140625" bestFit="1" customWidth="1"/>
  </cols>
  <sheetData>
    <row r="3" spans="1:4" x14ac:dyDescent="0.25">
      <c r="A3" s="2" t="s">
        <v>96</v>
      </c>
      <c r="B3" t="s">
        <v>98</v>
      </c>
      <c r="C3" t="s">
        <v>99</v>
      </c>
    </row>
    <row r="4" spans="1:4" x14ac:dyDescent="0.25">
      <c r="A4" s="3">
        <v>100</v>
      </c>
      <c r="B4" s="1">
        <v>316.8</v>
      </c>
      <c r="C4" s="4">
        <v>1</v>
      </c>
    </row>
    <row r="5" spans="1:4" x14ac:dyDescent="0.25">
      <c r="A5" s="3">
        <v>603</v>
      </c>
      <c r="B5" s="1">
        <v>537.9</v>
      </c>
      <c r="C5" s="4">
        <v>1</v>
      </c>
    </row>
    <row r="6" spans="1:4" x14ac:dyDescent="0.25">
      <c r="A6" s="3">
        <v>50</v>
      </c>
      <c r="B6" s="1">
        <v>1398.12</v>
      </c>
      <c r="C6" s="4">
        <v>3</v>
      </c>
    </row>
    <row r="7" spans="1:4" x14ac:dyDescent="0.25">
      <c r="A7" s="3">
        <v>600</v>
      </c>
      <c r="B7" s="1">
        <v>99407.52</v>
      </c>
      <c r="C7" s="4">
        <v>5</v>
      </c>
    </row>
    <row r="8" spans="1:4" x14ac:dyDescent="0.25">
      <c r="A8" s="3">
        <v>500</v>
      </c>
      <c r="B8" s="1">
        <v>220298.14</v>
      </c>
      <c r="C8" s="4">
        <v>4</v>
      </c>
    </row>
    <row r="9" spans="1:4" x14ac:dyDescent="0.25">
      <c r="A9" s="3">
        <v>200</v>
      </c>
      <c r="B9" s="1">
        <v>427550.06999999995</v>
      </c>
      <c r="C9" s="4">
        <v>7</v>
      </c>
    </row>
    <row r="10" spans="1:4" x14ac:dyDescent="0.25">
      <c r="A10" s="3">
        <v>375</v>
      </c>
      <c r="B10" s="1">
        <v>867088.47</v>
      </c>
      <c r="C10" s="4">
        <v>11</v>
      </c>
    </row>
    <row r="11" spans="1:4" x14ac:dyDescent="0.25">
      <c r="A11" s="3">
        <v>1750</v>
      </c>
      <c r="B11" s="1">
        <v>4279176.76</v>
      </c>
      <c r="C11" s="4">
        <v>22</v>
      </c>
    </row>
    <row r="12" spans="1:4" x14ac:dyDescent="0.25">
      <c r="A12" s="3">
        <v>750</v>
      </c>
      <c r="B12" s="1">
        <v>7375837.2800000003</v>
      </c>
      <c r="C12" s="4">
        <v>53</v>
      </c>
    </row>
    <row r="13" spans="1:4" x14ac:dyDescent="0.25">
      <c r="A13" s="3">
        <v>1000</v>
      </c>
      <c r="B13" s="1">
        <v>7953660.1600000001</v>
      </c>
      <c r="C13" s="4">
        <v>22</v>
      </c>
    </row>
    <row r="14" spans="1:4" x14ac:dyDescent="0.25">
      <c r="A14" s="3" t="s">
        <v>97</v>
      </c>
      <c r="B14" s="1">
        <v>21225271.219999999</v>
      </c>
      <c r="C14" s="4">
        <v>129</v>
      </c>
    </row>
    <row r="16" spans="1:4" x14ac:dyDescent="0.25">
      <c r="A16" s="6" t="s">
        <v>101</v>
      </c>
      <c r="B16" t="s">
        <v>98</v>
      </c>
      <c r="C16" t="s">
        <v>99</v>
      </c>
      <c r="D16" t="s">
        <v>100</v>
      </c>
    </row>
    <row r="17" spans="1:4" x14ac:dyDescent="0.25">
      <c r="A17" s="6">
        <v>375</v>
      </c>
      <c r="B17" s="5">
        <v>867088.47</v>
      </c>
      <c r="C17">
        <v>11</v>
      </c>
      <c r="D17" s="5">
        <f t="shared" ref="D17:D20" si="0">B17/C17</f>
        <v>78826.224545454548</v>
      </c>
    </row>
    <row r="18" spans="1:4" x14ac:dyDescent="0.25">
      <c r="A18" s="6">
        <v>1750</v>
      </c>
      <c r="B18" s="5">
        <v>4279176.76</v>
      </c>
      <c r="C18">
        <v>22</v>
      </c>
      <c r="D18" s="5">
        <f t="shared" si="0"/>
        <v>194508.03454545455</v>
      </c>
    </row>
    <row r="19" spans="1:4" x14ac:dyDescent="0.25">
      <c r="A19" s="6">
        <v>750</v>
      </c>
      <c r="B19" s="5">
        <v>7375837.2800000003</v>
      </c>
      <c r="C19">
        <v>53</v>
      </c>
      <c r="D19" s="5">
        <f t="shared" si="0"/>
        <v>139166.74113207549</v>
      </c>
    </row>
    <row r="20" spans="1:4" x14ac:dyDescent="0.25">
      <c r="A20" s="6">
        <v>1000</v>
      </c>
      <c r="B20" s="5">
        <v>7953660.1600000001</v>
      </c>
      <c r="C20">
        <v>22</v>
      </c>
      <c r="D20" s="5">
        <f t="shared" si="0"/>
        <v>361530.00727272726</v>
      </c>
    </row>
    <row r="21" spans="1:4" x14ac:dyDescent="0.25">
      <c r="B21" s="4"/>
    </row>
    <row r="22" spans="1:4" x14ac:dyDescent="0.25">
      <c r="B22" s="4"/>
    </row>
    <row r="23" spans="1:4" x14ac:dyDescent="0.25">
      <c r="B23" s="4"/>
    </row>
    <row r="24" spans="1:4" x14ac:dyDescent="0.25">
      <c r="B24" s="4"/>
    </row>
  </sheetData>
  <sortState xmlns:xlrd2="http://schemas.microsoft.com/office/spreadsheetml/2017/richdata2" ref="A3:C14">
    <sortCondition descending="1" ref="B3"/>
  </sortState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7B0A3-09F6-486F-BE94-CA5564D6C79D}">
  <dimension ref="A1:G130"/>
  <sheetViews>
    <sheetView topLeftCell="A2" workbookViewId="0">
      <selection sqref="A1:G130"/>
    </sheetView>
  </sheetViews>
  <sheetFormatPr defaultRowHeight="15" x14ac:dyDescent="0.25"/>
  <cols>
    <col min="1" max="1" width="41.5703125" bestFit="1" customWidth="1"/>
    <col min="2" max="2" width="10.42578125" customWidth="1"/>
    <col min="4" max="4" width="12.85546875" customWidth="1"/>
    <col min="6" max="6" width="13" customWidth="1"/>
    <col min="7" max="7" width="15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95</v>
      </c>
      <c r="B2">
        <v>904449</v>
      </c>
      <c r="C2">
        <v>6</v>
      </c>
      <c r="D2">
        <v>1</v>
      </c>
      <c r="E2">
        <v>25</v>
      </c>
      <c r="F2">
        <v>1750</v>
      </c>
      <c r="G2" s="1">
        <v>62.82</v>
      </c>
    </row>
    <row r="3" spans="1:7" x14ac:dyDescent="0.25">
      <c r="A3" t="s">
        <v>9</v>
      </c>
      <c r="B3">
        <v>943131</v>
      </c>
      <c r="C3">
        <v>12</v>
      </c>
      <c r="D3">
        <v>10</v>
      </c>
      <c r="E3">
        <v>70</v>
      </c>
      <c r="F3">
        <v>50</v>
      </c>
      <c r="G3" s="1">
        <v>98.52</v>
      </c>
    </row>
    <row r="4" spans="1:7" x14ac:dyDescent="0.25">
      <c r="A4" t="s">
        <v>94</v>
      </c>
      <c r="B4">
        <v>943259</v>
      </c>
      <c r="C4">
        <v>120</v>
      </c>
      <c r="D4">
        <v>1</v>
      </c>
      <c r="E4">
        <v>70</v>
      </c>
      <c r="F4">
        <v>50</v>
      </c>
      <c r="G4" s="1">
        <v>99.6</v>
      </c>
    </row>
    <row r="5" spans="1:7" x14ac:dyDescent="0.25">
      <c r="A5" t="s">
        <v>93</v>
      </c>
      <c r="B5">
        <v>902205</v>
      </c>
      <c r="C5">
        <v>24</v>
      </c>
      <c r="D5">
        <v>1</v>
      </c>
      <c r="E5">
        <v>80</v>
      </c>
      <c r="F5">
        <v>200</v>
      </c>
      <c r="G5" s="1">
        <v>111.84</v>
      </c>
    </row>
    <row r="6" spans="1:7" x14ac:dyDescent="0.25">
      <c r="A6" t="s">
        <v>10</v>
      </c>
      <c r="B6">
        <v>28223</v>
      </c>
      <c r="C6">
        <v>12</v>
      </c>
      <c r="D6">
        <v>1</v>
      </c>
      <c r="E6">
        <v>94</v>
      </c>
      <c r="F6">
        <v>200</v>
      </c>
      <c r="G6" s="1">
        <v>143.76</v>
      </c>
    </row>
    <row r="7" spans="1:7" x14ac:dyDescent="0.25">
      <c r="A7" t="s">
        <v>26</v>
      </c>
      <c r="B7">
        <v>943199</v>
      </c>
      <c r="C7">
        <v>6</v>
      </c>
      <c r="D7">
        <v>1</v>
      </c>
      <c r="E7">
        <v>70</v>
      </c>
      <c r="F7">
        <v>1750</v>
      </c>
      <c r="G7" s="1">
        <v>144</v>
      </c>
    </row>
    <row r="8" spans="1:7" x14ac:dyDescent="0.25">
      <c r="A8" t="s">
        <v>92</v>
      </c>
      <c r="B8">
        <v>943357</v>
      </c>
      <c r="C8">
        <v>12</v>
      </c>
      <c r="D8">
        <v>1</v>
      </c>
      <c r="E8">
        <v>80</v>
      </c>
      <c r="F8">
        <v>1000</v>
      </c>
      <c r="G8" s="1">
        <v>176.16</v>
      </c>
    </row>
    <row r="9" spans="1:7" x14ac:dyDescent="0.25">
      <c r="A9" t="s">
        <v>46</v>
      </c>
      <c r="B9">
        <v>934266</v>
      </c>
      <c r="C9">
        <v>6</v>
      </c>
      <c r="D9">
        <v>1</v>
      </c>
      <c r="E9">
        <v>80</v>
      </c>
      <c r="F9">
        <v>1000</v>
      </c>
      <c r="G9" s="1">
        <v>198</v>
      </c>
    </row>
    <row r="10" spans="1:7" x14ac:dyDescent="0.25">
      <c r="A10" t="s">
        <v>36</v>
      </c>
      <c r="B10">
        <v>933673</v>
      </c>
      <c r="C10">
        <v>6</v>
      </c>
      <c r="D10">
        <v>1</v>
      </c>
      <c r="E10">
        <v>80</v>
      </c>
      <c r="F10">
        <v>1000</v>
      </c>
      <c r="G10" s="1">
        <v>198</v>
      </c>
    </row>
    <row r="11" spans="1:7" x14ac:dyDescent="0.25">
      <c r="A11" t="s">
        <v>90</v>
      </c>
      <c r="B11">
        <v>934437</v>
      </c>
      <c r="C11">
        <v>6</v>
      </c>
      <c r="D11">
        <v>1</v>
      </c>
      <c r="E11">
        <v>80</v>
      </c>
      <c r="F11">
        <v>1000</v>
      </c>
      <c r="G11" s="1">
        <v>198</v>
      </c>
    </row>
    <row r="12" spans="1:7" x14ac:dyDescent="0.25">
      <c r="A12" t="s">
        <v>91</v>
      </c>
      <c r="B12">
        <v>934603</v>
      </c>
      <c r="C12">
        <v>6</v>
      </c>
      <c r="D12">
        <v>1</v>
      </c>
      <c r="E12">
        <v>80</v>
      </c>
      <c r="F12">
        <v>1000</v>
      </c>
      <c r="G12" s="1">
        <v>198</v>
      </c>
    </row>
    <row r="13" spans="1:7" x14ac:dyDescent="0.25">
      <c r="A13" t="s">
        <v>10</v>
      </c>
      <c r="B13">
        <v>928223</v>
      </c>
      <c r="C13">
        <v>12</v>
      </c>
      <c r="D13">
        <v>1</v>
      </c>
      <c r="E13">
        <v>94</v>
      </c>
      <c r="F13">
        <v>200</v>
      </c>
      <c r="G13" s="1">
        <v>216</v>
      </c>
    </row>
    <row r="14" spans="1:7" x14ac:dyDescent="0.25">
      <c r="A14" t="s">
        <v>12</v>
      </c>
      <c r="B14">
        <v>902966</v>
      </c>
      <c r="C14">
        <v>48</v>
      </c>
      <c r="D14">
        <v>1</v>
      </c>
      <c r="E14">
        <v>80</v>
      </c>
      <c r="F14">
        <v>100</v>
      </c>
      <c r="G14" s="1">
        <v>316.8</v>
      </c>
    </row>
    <row r="15" spans="1:7" x14ac:dyDescent="0.25">
      <c r="A15" t="s">
        <v>89</v>
      </c>
      <c r="B15">
        <v>904872</v>
      </c>
      <c r="C15">
        <v>12</v>
      </c>
      <c r="D15">
        <v>1</v>
      </c>
      <c r="E15">
        <v>70</v>
      </c>
      <c r="F15">
        <v>1000</v>
      </c>
      <c r="G15" s="1">
        <v>378</v>
      </c>
    </row>
    <row r="16" spans="1:7" x14ac:dyDescent="0.25">
      <c r="A16" t="s">
        <v>58</v>
      </c>
      <c r="B16">
        <v>943367</v>
      </c>
      <c r="C16">
        <v>12</v>
      </c>
      <c r="D16">
        <v>1</v>
      </c>
      <c r="E16">
        <v>70</v>
      </c>
      <c r="F16">
        <v>1000</v>
      </c>
      <c r="G16" s="1">
        <v>440.4</v>
      </c>
    </row>
    <row r="17" spans="1:7" x14ac:dyDescent="0.25">
      <c r="A17" t="s">
        <v>24</v>
      </c>
      <c r="B17">
        <v>904808</v>
      </c>
      <c r="C17">
        <v>6</v>
      </c>
      <c r="D17">
        <v>1</v>
      </c>
      <c r="E17">
        <v>80</v>
      </c>
      <c r="F17">
        <v>1750</v>
      </c>
      <c r="G17" s="1">
        <v>528.72</v>
      </c>
    </row>
    <row r="18" spans="1:7" x14ac:dyDescent="0.25">
      <c r="A18" t="s">
        <v>88</v>
      </c>
      <c r="B18">
        <v>902365</v>
      </c>
      <c r="C18">
        <v>10</v>
      </c>
      <c r="D18">
        <v>12</v>
      </c>
      <c r="E18">
        <v>86</v>
      </c>
      <c r="F18">
        <v>603</v>
      </c>
      <c r="G18" s="1">
        <v>537.9</v>
      </c>
    </row>
    <row r="19" spans="1:7" x14ac:dyDescent="0.25">
      <c r="A19" t="s">
        <v>87</v>
      </c>
      <c r="B19">
        <v>904541</v>
      </c>
      <c r="C19">
        <v>12</v>
      </c>
      <c r="D19">
        <v>1</v>
      </c>
      <c r="E19">
        <v>70</v>
      </c>
      <c r="F19">
        <v>750</v>
      </c>
      <c r="G19" s="1">
        <v>600</v>
      </c>
    </row>
    <row r="20" spans="1:7" x14ac:dyDescent="0.25">
      <c r="A20" t="s">
        <v>59</v>
      </c>
      <c r="B20">
        <v>902835</v>
      </c>
      <c r="C20">
        <v>48</v>
      </c>
      <c r="D20">
        <v>1</v>
      </c>
      <c r="E20">
        <v>80</v>
      </c>
      <c r="F20">
        <v>200</v>
      </c>
      <c r="G20" s="1">
        <v>624</v>
      </c>
    </row>
    <row r="21" spans="1:7" x14ac:dyDescent="0.25">
      <c r="A21" t="s">
        <v>10</v>
      </c>
      <c r="B21">
        <v>902979</v>
      </c>
      <c r="C21">
        <v>12</v>
      </c>
      <c r="D21">
        <v>1</v>
      </c>
      <c r="E21">
        <v>80</v>
      </c>
      <c r="F21">
        <v>375</v>
      </c>
      <c r="G21" s="1">
        <v>682.08</v>
      </c>
    </row>
    <row r="22" spans="1:7" x14ac:dyDescent="0.25">
      <c r="A22" t="s">
        <v>29</v>
      </c>
      <c r="B22">
        <v>43142</v>
      </c>
      <c r="C22">
        <v>12</v>
      </c>
      <c r="D22">
        <v>1</v>
      </c>
      <c r="E22">
        <v>70</v>
      </c>
      <c r="F22">
        <v>375</v>
      </c>
      <c r="G22" s="1">
        <v>810</v>
      </c>
    </row>
    <row r="23" spans="1:7" x14ac:dyDescent="0.25">
      <c r="A23" t="s">
        <v>86</v>
      </c>
      <c r="B23">
        <v>927957</v>
      </c>
      <c r="C23">
        <v>6</v>
      </c>
      <c r="D23">
        <v>1</v>
      </c>
      <c r="E23">
        <v>94</v>
      </c>
      <c r="F23">
        <v>1000</v>
      </c>
      <c r="G23" s="1">
        <v>900</v>
      </c>
    </row>
    <row r="24" spans="1:7" x14ac:dyDescent="0.25">
      <c r="A24" t="s">
        <v>32</v>
      </c>
      <c r="B24">
        <v>43092</v>
      </c>
      <c r="C24">
        <v>12</v>
      </c>
      <c r="D24">
        <v>1</v>
      </c>
      <c r="E24">
        <v>70</v>
      </c>
      <c r="F24">
        <v>375</v>
      </c>
      <c r="G24" s="1">
        <v>1014</v>
      </c>
    </row>
    <row r="25" spans="1:7" x14ac:dyDescent="0.25">
      <c r="A25" t="s">
        <v>84</v>
      </c>
      <c r="B25">
        <v>902282</v>
      </c>
      <c r="C25">
        <v>10</v>
      </c>
      <c r="D25">
        <v>12</v>
      </c>
      <c r="E25">
        <v>94</v>
      </c>
      <c r="F25">
        <v>50</v>
      </c>
      <c r="G25" s="1">
        <v>1200</v>
      </c>
    </row>
    <row r="26" spans="1:7" x14ac:dyDescent="0.25">
      <c r="A26" t="s">
        <v>85</v>
      </c>
      <c r="B26">
        <v>34684</v>
      </c>
      <c r="C26">
        <v>10</v>
      </c>
      <c r="D26">
        <v>12</v>
      </c>
      <c r="E26">
        <v>80</v>
      </c>
      <c r="F26">
        <v>600</v>
      </c>
      <c r="G26" s="1">
        <v>1200</v>
      </c>
    </row>
    <row r="27" spans="1:7" x14ac:dyDescent="0.25">
      <c r="A27" t="s">
        <v>83</v>
      </c>
      <c r="B27">
        <v>34269</v>
      </c>
      <c r="C27">
        <v>10</v>
      </c>
      <c r="D27">
        <v>12</v>
      </c>
      <c r="E27">
        <v>80</v>
      </c>
      <c r="F27">
        <v>600</v>
      </c>
      <c r="G27" s="1">
        <v>1260</v>
      </c>
    </row>
    <row r="28" spans="1:7" x14ac:dyDescent="0.25">
      <c r="A28" t="s">
        <v>82</v>
      </c>
      <c r="B28">
        <v>43052</v>
      </c>
      <c r="C28">
        <v>12</v>
      </c>
      <c r="D28">
        <v>1</v>
      </c>
      <c r="E28">
        <v>70</v>
      </c>
      <c r="F28">
        <v>375</v>
      </c>
      <c r="G28" s="1">
        <v>1266</v>
      </c>
    </row>
    <row r="29" spans="1:7" x14ac:dyDescent="0.25">
      <c r="A29" t="s">
        <v>81</v>
      </c>
      <c r="B29">
        <v>904642</v>
      </c>
      <c r="C29">
        <v>12</v>
      </c>
      <c r="D29">
        <v>1</v>
      </c>
      <c r="E29">
        <v>68</v>
      </c>
      <c r="F29">
        <v>1000</v>
      </c>
      <c r="G29" s="1">
        <v>1346.88</v>
      </c>
    </row>
    <row r="30" spans="1:7" x14ac:dyDescent="0.25">
      <c r="A30" t="s">
        <v>80</v>
      </c>
      <c r="B30">
        <v>943183</v>
      </c>
      <c r="C30">
        <v>12</v>
      </c>
      <c r="D30">
        <v>1</v>
      </c>
      <c r="E30">
        <v>70</v>
      </c>
      <c r="F30">
        <v>750</v>
      </c>
      <c r="G30" s="1">
        <v>1500</v>
      </c>
    </row>
    <row r="31" spans="1:7" x14ac:dyDescent="0.25">
      <c r="A31" t="s">
        <v>79</v>
      </c>
      <c r="B31">
        <v>66834</v>
      </c>
      <c r="C31">
        <v>12</v>
      </c>
      <c r="D31">
        <v>1</v>
      </c>
      <c r="E31">
        <v>40</v>
      </c>
      <c r="F31">
        <v>200</v>
      </c>
      <c r="G31" s="1">
        <v>1695.75</v>
      </c>
    </row>
    <row r="32" spans="1:7" x14ac:dyDescent="0.25">
      <c r="A32" t="s">
        <v>78</v>
      </c>
      <c r="B32">
        <v>904000</v>
      </c>
      <c r="C32">
        <v>12</v>
      </c>
      <c r="D32">
        <v>1</v>
      </c>
      <c r="E32">
        <v>80</v>
      </c>
      <c r="F32">
        <v>750</v>
      </c>
      <c r="G32" s="1">
        <v>1815.84</v>
      </c>
    </row>
    <row r="33" spans="1:7" x14ac:dyDescent="0.25">
      <c r="A33" t="s">
        <v>77</v>
      </c>
      <c r="B33">
        <v>902975</v>
      </c>
      <c r="C33">
        <v>6</v>
      </c>
      <c r="D33">
        <v>1</v>
      </c>
      <c r="E33">
        <v>80</v>
      </c>
      <c r="F33">
        <v>750</v>
      </c>
      <c r="G33" s="1">
        <v>1951.32</v>
      </c>
    </row>
    <row r="34" spans="1:7" x14ac:dyDescent="0.25">
      <c r="A34" t="s">
        <v>76</v>
      </c>
      <c r="B34">
        <v>1649</v>
      </c>
      <c r="C34">
        <v>6</v>
      </c>
      <c r="D34">
        <v>1</v>
      </c>
      <c r="E34">
        <v>80</v>
      </c>
      <c r="F34">
        <v>750</v>
      </c>
      <c r="G34" s="1">
        <v>2126.25</v>
      </c>
    </row>
    <row r="35" spans="1:7" x14ac:dyDescent="0.25">
      <c r="A35" t="s">
        <v>75</v>
      </c>
      <c r="B35">
        <v>66835</v>
      </c>
      <c r="C35">
        <v>4</v>
      </c>
      <c r="D35">
        <v>12</v>
      </c>
      <c r="E35">
        <v>40</v>
      </c>
      <c r="F35">
        <v>600</v>
      </c>
      <c r="G35" s="1">
        <v>2207.52</v>
      </c>
    </row>
    <row r="36" spans="1:7" x14ac:dyDescent="0.25">
      <c r="A36" t="s">
        <v>74</v>
      </c>
      <c r="B36">
        <v>4071</v>
      </c>
      <c r="C36">
        <v>6</v>
      </c>
      <c r="D36">
        <v>1</v>
      </c>
      <c r="E36">
        <v>80</v>
      </c>
      <c r="F36">
        <v>750</v>
      </c>
      <c r="G36" s="1">
        <v>2268</v>
      </c>
    </row>
    <row r="37" spans="1:7" x14ac:dyDescent="0.25">
      <c r="A37" t="s">
        <v>73</v>
      </c>
      <c r="B37">
        <v>904512</v>
      </c>
      <c r="C37">
        <v>12</v>
      </c>
      <c r="D37">
        <v>1</v>
      </c>
      <c r="E37">
        <v>70</v>
      </c>
      <c r="F37">
        <v>1000</v>
      </c>
      <c r="G37" s="1">
        <v>2396.16</v>
      </c>
    </row>
    <row r="38" spans="1:7" x14ac:dyDescent="0.25">
      <c r="A38" t="s">
        <v>72</v>
      </c>
      <c r="B38">
        <v>903796</v>
      </c>
      <c r="C38">
        <v>12</v>
      </c>
      <c r="D38">
        <v>1</v>
      </c>
      <c r="E38">
        <v>80</v>
      </c>
      <c r="F38">
        <v>750</v>
      </c>
      <c r="G38" s="1">
        <v>2512.08</v>
      </c>
    </row>
    <row r="39" spans="1:7" x14ac:dyDescent="0.25">
      <c r="A39" t="s">
        <v>71</v>
      </c>
      <c r="B39">
        <v>903331</v>
      </c>
      <c r="C39">
        <v>12</v>
      </c>
      <c r="D39">
        <v>1</v>
      </c>
      <c r="E39">
        <v>80</v>
      </c>
      <c r="F39">
        <v>750</v>
      </c>
      <c r="G39" s="1">
        <v>2609.2800000000002</v>
      </c>
    </row>
    <row r="40" spans="1:7" x14ac:dyDescent="0.25">
      <c r="A40" t="s">
        <v>70</v>
      </c>
      <c r="B40">
        <v>28208</v>
      </c>
      <c r="C40">
        <v>6</v>
      </c>
      <c r="D40">
        <v>1</v>
      </c>
      <c r="E40">
        <v>86</v>
      </c>
      <c r="F40">
        <v>1750</v>
      </c>
      <c r="G40" s="1">
        <v>2921.25</v>
      </c>
    </row>
    <row r="41" spans="1:7" x14ac:dyDescent="0.25">
      <c r="A41" t="s">
        <v>69</v>
      </c>
      <c r="B41">
        <v>33670</v>
      </c>
      <c r="C41">
        <v>10</v>
      </c>
      <c r="D41">
        <v>12</v>
      </c>
      <c r="E41">
        <v>80</v>
      </c>
      <c r="F41">
        <v>600</v>
      </c>
      <c r="G41" s="1">
        <v>3090</v>
      </c>
    </row>
    <row r="42" spans="1:7" x14ac:dyDescent="0.25">
      <c r="A42" t="s">
        <v>68</v>
      </c>
      <c r="B42">
        <v>902243</v>
      </c>
      <c r="C42">
        <v>12</v>
      </c>
      <c r="D42">
        <v>1</v>
      </c>
      <c r="E42">
        <v>80</v>
      </c>
      <c r="F42">
        <v>750</v>
      </c>
      <c r="G42" s="1">
        <v>3483</v>
      </c>
    </row>
    <row r="43" spans="1:7" x14ac:dyDescent="0.25">
      <c r="A43" t="s">
        <v>67</v>
      </c>
      <c r="B43">
        <v>43204</v>
      </c>
      <c r="C43">
        <v>12</v>
      </c>
      <c r="D43">
        <v>1</v>
      </c>
      <c r="E43">
        <v>70</v>
      </c>
      <c r="F43">
        <v>750</v>
      </c>
      <c r="G43" s="1">
        <v>3832.5</v>
      </c>
    </row>
    <row r="44" spans="1:7" x14ac:dyDescent="0.25">
      <c r="A44" t="s">
        <v>66</v>
      </c>
      <c r="B44">
        <v>43135</v>
      </c>
      <c r="C44">
        <v>12</v>
      </c>
      <c r="D44">
        <v>1</v>
      </c>
      <c r="E44">
        <v>70</v>
      </c>
      <c r="F44">
        <v>750</v>
      </c>
      <c r="G44" s="1">
        <v>3912</v>
      </c>
    </row>
    <row r="45" spans="1:7" x14ac:dyDescent="0.25">
      <c r="A45" t="s">
        <v>65</v>
      </c>
      <c r="B45">
        <v>3891</v>
      </c>
      <c r="C45">
        <v>6</v>
      </c>
      <c r="D45">
        <v>1</v>
      </c>
      <c r="E45">
        <v>40</v>
      </c>
      <c r="F45">
        <v>750</v>
      </c>
      <c r="G45" s="1">
        <v>3948.75</v>
      </c>
    </row>
    <row r="46" spans="1:7" x14ac:dyDescent="0.25">
      <c r="A46" t="s">
        <v>64</v>
      </c>
      <c r="B46">
        <v>56870</v>
      </c>
      <c r="C46">
        <v>6</v>
      </c>
      <c r="D46">
        <v>1</v>
      </c>
      <c r="E46">
        <v>30</v>
      </c>
      <c r="F46">
        <v>1750</v>
      </c>
      <c r="G46" s="1">
        <v>4272</v>
      </c>
    </row>
    <row r="47" spans="1:7" x14ac:dyDescent="0.25">
      <c r="A47" t="s">
        <v>33</v>
      </c>
      <c r="B47">
        <v>35933</v>
      </c>
      <c r="C47">
        <v>12</v>
      </c>
      <c r="D47">
        <v>1</v>
      </c>
      <c r="E47">
        <v>80</v>
      </c>
      <c r="F47">
        <v>375</v>
      </c>
      <c r="G47" s="1">
        <v>5533.2</v>
      </c>
    </row>
    <row r="48" spans="1:7" x14ac:dyDescent="0.25">
      <c r="A48" t="s">
        <v>63</v>
      </c>
      <c r="B48">
        <v>43055</v>
      </c>
      <c r="C48">
        <v>12</v>
      </c>
      <c r="D48">
        <v>1</v>
      </c>
      <c r="E48">
        <v>70</v>
      </c>
      <c r="F48">
        <v>750</v>
      </c>
      <c r="G48" s="1">
        <v>6084</v>
      </c>
    </row>
    <row r="49" spans="1:7" x14ac:dyDescent="0.25">
      <c r="A49" t="s">
        <v>62</v>
      </c>
      <c r="B49">
        <v>3326</v>
      </c>
      <c r="C49">
        <v>6</v>
      </c>
      <c r="D49">
        <v>1</v>
      </c>
      <c r="E49">
        <v>70</v>
      </c>
      <c r="F49">
        <v>750</v>
      </c>
      <c r="G49" s="1">
        <v>8046</v>
      </c>
    </row>
    <row r="50" spans="1:7" x14ac:dyDescent="0.25">
      <c r="A50" t="s">
        <v>61</v>
      </c>
      <c r="B50">
        <v>4079</v>
      </c>
      <c r="C50">
        <v>6</v>
      </c>
      <c r="D50">
        <v>1</v>
      </c>
      <c r="E50">
        <v>80</v>
      </c>
      <c r="F50">
        <v>750</v>
      </c>
      <c r="G50" s="1">
        <v>8640</v>
      </c>
    </row>
    <row r="51" spans="1:7" x14ac:dyDescent="0.25">
      <c r="A51" t="s">
        <v>60</v>
      </c>
      <c r="B51">
        <v>43201</v>
      </c>
      <c r="C51">
        <v>12</v>
      </c>
      <c r="D51">
        <v>10</v>
      </c>
      <c r="E51">
        <v>70</v>
      </c>
      <c r="F51">
        <v>500</v>
      </c>
      <c r="G51" s="1">
        <v>9719.58</v>
      </c>
    </row>
    <row r="52" spans="1:7" x14ac:dyDescent="0.25">
      <c r="A52" t="s">
        <v>56</v>
      </c>
      <c r="B52">
        <v>47863</v>
      </c>
      <c r="C52">
        <v>12</v>
      </c>
      <c r="D52">
        <v>1</v>
      </c>
      <c r="E52">
        <v>80</v>
      </c>
      <c r="F52">
        <v>375</v>
      </c>
      <c r="G52" s="1">
        <v>10367.73</v>
      </c>
    </row>
    <row r="53" spans="1:7" x14ac:dyDescent="0.25">
      <c r="A53" t="s">
        <v>59</v>
      </c>
      <c r="B53">
        <v>4864</v>
      </c>
      <c r="C53">
        <v>24</v>
      </c>
      <c r="D53">
        <v>1</v>
      </c>
      <c r="E53">
        <v>80</v>
      </c>
      <c r="F53">
        <v>375</v>
      </c>
      <c r="G53" s="1">
        <v>10577.98</v>
      </c>
    </row>
    <row r="54" spans="1:7" x14ac:dyDescent="0.25">
      <c r="A54" t="s">
        <v>58</v>
      </c>
      <c r="B54">
        <v>43366</v>
      </c>
      <c r="C54">
        <v>12</v>
      </c>
      <c r="D54">
        <v>1</v>
      </c>
      <c r="E54">
        <v>70</v>
      </c>
      <c r="F54">
        <v>750</v>
      </c>
      <c r="G54" s="1">
        <v>12305.28</v>
      </c>
    </row>
    <row r="55" spans="1:7" x14ac:dyDescent="0.25">
      <c r="A55" t="s">
        <v>57</v>
      </c>
      <c r="B55">
        <v>43089</v>
      </c>
      <c r="C55">
        <v>12</v>
      </c>
      <c r="D55">
        <v>10</v>
      </c>
      <c r="E55">
        <v>70</v>
      </c>
      <c r="F55">
        <v>500</v>
      </c>
      <c r="G55" s="1">
        <v>13755.22</v>
      </c>
    </row>
    <row r="56" spans="1:7" x14ac:dyDescent="0.25">
      <c r="A56" t="s">
        <v>56</v>
      </c>
      <c r="B56">
        <v>47865</v>
      </c>
      <c r="C56">
        <v>6</v>
      </c>
      <c r="D56">
        <v>1</v>
      </c>
      <c r="E56">
        <v>80</v>
      </c>
      <c r="F56">
        <v>750</v>
      </c>
      <c r="G56" s="1">
        <v>16272</v>
      </c>
    </row>
    <row r="57" spans="1:7" x14ac:dyDescent="0.25">
      <c r="A57" t="s">
        <v>55</v>
      </c>
      <c r="B57">
        <v>64888</v>
      </c>
      <c r="C57">
        <v>12</v>
      </c>
      <c r="D57">
        <v>1</v>
      </c>
      <c r="E57">
        <v>80</v>
      </c>
      <c r="F57">
        <v>750</v>
      </c>
      <c r="G57" s="1">
        <v>16454.48</v>
      </c>
    </row>
    <row r="58" spans="1:7" x14ac:dyDescent="0.25">
      <c r="A58" t="s">
        <v>54</v>
      </c>
      <c r="B58">
        <v>43040</v>
      </c>
      <c r="C58">
        <v>6</v>
      </c>
      <c r="D58">
        <v>1</v>
      </c>
      <c r="E58">
        <v>80</v>
      </c>
      <c r="F58">
        <v>1750</v>
      </c>
      <c r="G58" s="1">
        <v>18327</v>
      </c>
    </row>
    <row r="59" spans="1:7" x14ac:dyDescent="0.25">
      <c r="A59" t="s">
        <v>53</v>
      </c>
      <c r="B59">
        <v>43163</v>
      </c>
      <c r="C59">
        <v>12</v>
      </c>
      <c r="D59">
        <v>1</v>
      </c>
      <c r="E59">
        <v>70</v>
      </c>
      <c r="F59">
        <v>750</v>
      </c>
      <c r="G59" s="1">
        <v>19786.560000000001</v>
      </c>
    </row>
    <row r="60" spans="1:7" x14ac:dyDescent="0.25">
      <c r="A60" t="s">
        <v>9</v>
      </c>
      <c r="B60">
        <v>43134</v>
      </c>
      <c r="C60">
        <v>12</v>
      </c>
      <c r="D60">
        <v>1</v>
      </c>
      <c r="E60">
        <v>70</v>
      </c>
      <c r="F60">
        <v>375</v>
      </c>
      <c r="G60" s="1">
        <v>23794.12</v>
      </c>
    </row>
    <row r="61" spans="1:7" x14ac:dyDescent="0.25">
      <c r="A61" t="s">
        <v>52</v>
      </c>
      <c r="B61">
        <v>42370</v>
      </c>
      <c r="C61">
        <v>12</v>
      </c>
      <c r="D61">
        <v>1</v>
      </c>
      <c r="E61">
        <v>80</v>
      </c>
      <c r="F61">
        <v>750</v>
      </c>
      <c r="G61" s="1">
        <v>24396.51</v>
      </c>
    </row>
    <row r="62" spans="1:7" x14ac:dyDescent="0.25">
      <c r="A62" t="s">
        <v>26</v>
      </c>
      <c r="B62">
        <v>43198</v>
      </c>
      <c r="C62">
        <v>12</v>
      </c>
      <c r="D62">
        <v>1</v>
      </c>
      <c r="E62">
        <v>70</v>
      </c>
      <c r="F62">
        <v>1000</v>
      </c>
      <c r="G62" s="1">
        <v>24792.83</v>
      </c>
    </row>
    <row r="63" spans="1:7" x14ac:dyDescent="0.25">
      <c r="A63" t="s">
        <v>51</v>
      </c>
      <c r="B63">
        <v>34605</v>
      </c>
      <c r="C63">
        <v>6</v>
      </c>
      <c r="D63">
        <v>1</v>
      </c>
      <c r="E63">
        <v>80</v>
      </c>
      <c r="F63">
        <v>750</v>
      </c>
      <c r="G63" s="1">
        <v>25215.66</v>
      </c>
    </row>
    <row r="64" spans="1:7" x14ac:dyDescent="0.25">
      <c r="A64" t="s">
        <v>50</v>
      </c>
      <c r="B64">
        <v>43210</v>
      </c>
      <c r="C64">
        <v>12</v>
      </c>
      <c r="D64">
        <v>1</v>
      </c>
      <c r="E64">
        <v>70</v>
      </c>
      <c r="F64">
        <v>750</v>
      </c>
      <c r="G64" s="1">
        <v>25660.25</v>
      </c>
    </row>
    <row r="65" spans="1:7" x14ac:dyDescent="0.25">
      <c r="A65" t="s">
        <v>49</v>
      </c>
      <c r="B65">
        <v>4029</v>
      </c>
      <c r="C65">
        <v>6</v>
      </c>
      <c r="D65">
        <v>1</v>
      </c>
      <c r="E65">
        <v>80</v>
      </c>
      <c r="F65">
        <v>1000</v>
      </c>
      <c r="G65" s="1">
        <v>28314</v>
      </c>
    </row>
    <row r="66" spans="1:7" x14ac:dyDescent="0.25">
      <c r="A66" t="s">
        <v>48</v>
      </c>
      <c r="B66">
        <v>57092</v>
      </c>
      <c r="C66">
        <v>6</v>
      </c>
      <c r="D66">
        <v>1</v>
      </c>
      <c r="E66">
        <v>30</v>
      </c>
      <c r="F66">
        <v>1750</v>
      </c>
      <c r="G66" s="1">
        <v>29295.5</v>
      </c>
    </row>
    <row r="67" spans="1:7" x14ac:dyDescent="0.25">
      <c r="A67" t="s">
        <v>15</v>
      </c>
      <c r="B67">
        <v>43386</v>
      </c>
      <c r="C67">
        <v>12</v>
      </c>
      <c r="D67">
        <v>1</v>
      </c>
      <c r="E67">
        <v>80</v>
      </c>
      <c r="F67">
        <v>750</v>
      </c>
      <c r="G67" s="1">
        <v>30463.68</v>
      </c>
    </row>
    <row r="68" spans="1:7" x14ac:dyDescent="0.25">
      <c r="A68" t="s">
        <v>47</v>
      </c>
      <c r="B68">
        <v>56840</v>
      </c>
      <c r="C68">
        <v>6</v>
      </c>
      <c r="D68">
        <v>1</v>
      </c>
      <c r="E68">
        <v>25</v>
      </c>
      <c r="F68">
        <v>1750</v>
      </c>
      <c r="G68" s="1">
        <v>32372.86</v>
      </c>
    </row>
    <row r="69" spans="1:7" x14ac:dyDescent="0.25">
      <c r="A69" t="s">
        <v>46</v>
      </c>
      <c r="B69">
        <v>34267</v>
      </c>
      <c r="C69">
        <v>6</v>
      </c>
      <c r="D69">
        <v>1</v>
      </c>
      <c r="E69">
        <v>80</v>
      </c>
      <c r="F69">
        <v>750</v>
      </c>
      <c r="G69" s="1">
        <v>33204.78</v>
      </c>
    </row>
    <row r="70" spans="1:7" x14ac:dyDescent="0.25">
      <c r="A70" t="s">
        <v>45</v>
      </c>
      <c r="B70">
        <v>56828</v>
      </c>
      <c r="C70">
        <v>6</v>
      </c>
      <c r="D70">
        <v>1</v>
      </c>
      <c r="E70">
        <v>30</v>
      </c>
      <c r="F70">
        <v>1750</v>
      </c>
      <c r="G70" s="1">
        <v>33608</v>
      </c>
    </row>
    <row r="71" spans="1:7" x14ac:dyDescent="0.25">
      <c r="A71" t="s">
        <v>44</v>
      </c>
      <c r="B71">
        <v>89099</v>
      </c>
      <c r="C71">
        <v>6</v>
      </c>
      <c r="D71">
        <v>1</v>
      </c>
      <c r="E71">
        <v>80</v>
      </c>
      <c r="F71">
        <v>750</v>
      </c>
      <c r="G71" s="1">
        <v>33763.919999999998</v>
      </c>
    </row>
    <row r="72" spans="1:7" x14ac:dyDescent="0.25">
      <c r="A72" t="s">
        <v>43</v>
      </c>
      <c r="B72">
        <v>28210</v>
      </c>
      <c r="C72">
        <v>12</v>
      </c>
      <c r="D72">
        <v>1</v>
      </c>
      <c r="E72">
        <v>84</v>
      </c>
      <c r="F72">
        <v>750</v>
      </c>
      <c r="G72" s="1">
        <v>35767.26</v>
      </c>
    </row>
    <row r="73" spans="1:7" x14ac:dyDescent="0.25">
      <c r="A73" t="s">
        <v>42</v>
      </c>
      <c r="B73">
        <v>56846</v>
      </c>
      <c r="C73">
        <v>6</v>
      </c>
      <c r="D73">
        <v>1</v>
      </c>
      <c r="E73">
        <v>25</v>
      </c>
      <c r="F73">
        <v>1750</v>
      </c>
      <c r="G73" s="1">
        <v>38765.24</v>
      </c>
    </row>
    <row r="74" spans="1:7" x14ac:dyDescent="0.25">
      <c r="A74" t="s">
        <v>12</v>
      </c>
      <c r="B74">
        <v>43034</v>
      </c>
      <c r="C74">
        <v>24</v>
      </c>
      <c r="D74">
        <v>1</v>
      </c>
      <c r="E74">
        <v>80</v>
      </c>
      <c r="F74">
        <v>375</v>
      </c>
      <c r="G74" s="1">
        <v>40553.96</v>
      </c>
    </row>
    <row r="75" spans="1:7" x14ac:dyDescent="0.25">
      <c r="A75" t="s">
        <v>21</v>
      </c>
      <c r="B75">
        <v>43116</v>
      </c>
      <c r="C75">
        <v>12</v>
      </c>
      <c r="D75">
        <v>1</v>
      </c>
      <c r="E75">
        <v>70</v>
      </c>
      <c r="F75">
        <v>750</v>
      </c>
      <c r="G75" s="1">
        <v>45446.35</v>
      </c>
    </row>
    <row r="76" spans="1:7" x14ac:dyDescent="0.25">
      <c r="A76" t="s">
        <v>31</v>
      </c>
      <c r="B76">
        <v>43263</v>
      </c>
      <c r="C76">
        <v>12</v>
      </c>
      <c r="D76">
        <v>1</v>
      </c>
      <c r="E76">
        <v>70</v>
      </c>
      <c r="F76">
        <v>1000</v>
      </c>
      <c r="G76" s="1">
        <v>46035</v>
      </c>
    </row>
    <row r="77" spans="1:7" x14ac:dyDescent="0.25">
      <c r="A77" t="s">
        <v>41</v>
      </c>
      <c r="B77">
        <v>56843</v>
      </c>
      <c r="C77">
        <v>6</v>
      </c>
      <c r="D77">
        <v>1</v>
      </c>
      <c r="E77">
        <v>25</v>
      </c>
      <c r="F77">
        <v>1750</v>
      </c>
      <c r="G77" s="1">
        <v>49953.11</v>
      </c>
    </row>
    <row r="78" spans="1:7" x14ac:dyDescent="0.25">
      <c r="A78" t="s">
        <v>40</v>
      </c>
      <c r="B78">
        <v>56850</v>
      </c>
      <c r="C78">
        <v>6</v>
      </c>
      <c r="D78">
        <v>1</v>
      </c>
      <c r="E78">
        <v>20</v>
      </c>
      <c r="F78">
        <v>1750</v>
      </c>
      <c r="G78" s="1">
        <v>50794.78</v>
      </c>
    </row>
    <row r="79" spans="1:7" x14ac:dyDescent="0.25">
      <c r="A79" t="s">
        <v>39</v>
      </c>
      <c r="B79">
        <v>43031</v>
      </c>
      <c r="C79">
        <v>12</v>
      </c>
      <c r="D79">
        <v>10</v>
      </c>
      <c r="E79">
        <v>80</v>
      </c>
      <c r="F79">
        <v>500</v>
      </c>
      <c r="G79" s="1">
        <v>51945.18</v>
      </c>
    </row>
    <row r="80" spans="1:7" x14ac:dyDescent="0.25">
      <c r="A80" t="s">
        <v>38</v>
      </c>
      <c r="B80">
        <v>34436</v>
      </c>
      <c r="C80">
        <v>6</v>
      </c>
      <c r="D80">
        <v>1</v>
      </c>
      <c r="E80">
        <v>80</v>
      </c>
      <c r="F80">
        <v>750</v>
      </c>
      <c r="G80" s="1">
        <v>52927.92</v>
      </c>
    </row>
    <row r="81" spans="1:7" x14ac:dyDescent="0.25">
      <c r="A81" t="s">
        <v>37</v>
      </c>
      <c r="B81">
        <v>4876</v>
      </c>
      <c r="C81">
        <v>12</v>
      </c>
      <c r="D81">
        <v>1</v>
      </c>
      <c r="E81">
        <v>80</v>
      </c>
      <c r="F81">
        <v>750</v>
      </c>
      <c r="G81" s="1">
        <v>52946.5</v>
      </c>
    </row>
    <row r="82" spans="1:7" x14ac:dyDescent="0.25">
      <c r="A82" t="s">
        <v>27</v>
      </c>
      <c r="B82">
        <v>43048</v>
      </c>
      <c r="C82">
        <v>6</v>
      </c>
      <c r="D82">
        <v>1</v>
      </c>
      <c r="E82">
        <v>80</v>
      </c>
      <c r="F82">
        <v>1750</v>
      </c>
      <c r="G82" s="1">
        <v>54906.48</v>
      </c>
    </row>
    <row r="83" spans="1:7" x14ac:dyDescent="0.25">
      <c r="A83" t="s">
        <v>36</v>
      </c>
      <c r="B83">
        <v>33672</v>
      </c>
      <c r="C83">
        <v>6</v>
      </c>
      <c r="D83">
        <v>1</v>
      </c>
      <c r="E83">
        <v>80</v>
      </c>
      <c r="F83">
        <v>750</v>
      </c>
      <c r="G83" s="1">
        <v>55036.160000000003</v>
      </c>
    </row>
    <row r="84" spans="1:7" x14ac:dyDescent="0.25">
      <c r="A84" t="s">
        <v>35</v>
      </c>
      <c r="B84">
        <v>43035</v>
      </c>
      <c r="C84">
        <v>12</v>
      </c>
      <c r="D84">
        <v>1</v>
      </c>
      <c r="E84">
        <v>80</v>
      </c>
      <c r="F84">
        <v>750</v>
      </c>
      <c r="G84" s="1">
        <v>57823.11</v>
      </c>
    </row>
    <row r="85" spans="1:7" x14ac:dyDescent="0.25">
      <c r="A85" t="s">
        <v>34</v>
      </c>
      <c r="B85">
        <v>43066</v>
      </c>
      <c r="C85">
        <v>12</v>
      </c>
      <c r="D85">
        <v>1</v>
      </c>
      <c r="E85">
        <v>70</v>
      </c>
      <c r="F85">
        <v>750</v>
      </c>
      <c r="G85" s="1">
        <v>62914.98</v>
      </c>
    </row>
    <row r="86" spans="1:7" x14ac:dyDescent="0.25">
      <c r="A86" t="s">
        <v>8</v>
      </c>
      <c r="B86">
        <v>43123</v>
      </c>
      <c r="C86">
        <v>48</v>
      </c>
      <c r="D86">
        <v>1</v>
      </c>
      <c r="E86">
        <v>80</v>
      </c>
      <c r="F86">
        <v>200</v>
      </c>
      <c r="G86" s="1">
        <v>68842.5</v>
      </c>
    </row>
    <row r="87" spans="1:7" x14ac:dyDescent="0.25">
      <c r="A87" t="s">
        <v>33</v>
      </c>
      <c r="B87">
        <v>35934</v>
      </c>
      <c r="C87">
        <v>6</v>
      </c>
      <c r="D87">
        <v>1</v>
      </c>
      <c r="E87">
        <v>80</v>
      </c>
      <c r="F87">
        <v>750</v>
      </c>
      <c r="G87" s="1">
        <v>85910.78</v>
      </c>
    </row>
    <row r="88" spans="1:7" x14ac:dyDescent="0.25">
      <c r="A88" t="s">
        <v>32</v>
      </c>
      <c r="B88">
        <v>43095</v>
      </c>
      <c r="C88">
        <v>12</v>
      </c>
      <c r="D88">
        <v>1</v>
      </c>
      <c r="E88">
        <v>70</v>
      </c>
      <c r="F88">
        <v>750</v>
      </c>
      <c r="G88" s="1">
        <v>87039.75</v>
      </c>
    </row>
    <row r="89" spans="1:7" x14ac:dyDescent="0.25">
      <c r="A89" t="s">
        <v>31</v>
      </c>
      <c r="B89">
        <v>43209</v>
      </c>
      <c r="C89">
        <v>12</v>
      </c>
      <c r="D89">
        <v>1</v>
      </c>
      <c r="E89">
        <v>70</v>
      </c>
      <c r="F89">
        <v>750</v>
      </c>
      <c r="G89" s="1">
        <v>90273.75</v>
      </c>
    </row>
    <row r="90" spans="1:7" x14ac:dyDescent="0.25">
      <c r="A90" t="s">
        <v>30</v>
      </c>
      <c r="B90">
        <v>34421</v>
      </c>
      <c r="C90">
        <v>10</v>
      </c>
      <c r="D90">
        <v>12</v>
      </c>
      <c r="E90">
        <v>80</v>
      </c>
      <c r="F90">
        <v>600</v>
      </c>
      <c r="G90" s="1">
        <v>91650</v>
      </c>
    </row>
    <row r="91" spans="1:7" x14ac:dyDescent="0.25">
      <c r="A91" t="s">
        <v>29</v>
      </c>
      <c r="B91">
        <v>43145</v>
      </c>
      <c r="C91">
        <v>12</v>
      </c>
      <c r="D91">
        <v>1</v>
      </c>
      <c r="E91">
        <v>70</v>
      </c>
      <c r="F91">
        <v>750</v>
      </c>
      <c r="G91" s="1">
        <v>93833</v>
      </c>
    </row>
    <row r="92" spans="1:7" x14ac:dyDescent="0.25">
      <c r="A92" t="s">
        <v>28</v>
      </c>
      <c r="B92">
        <v>28206</v>
      </c>
      <c r="C92">
        <v>12</v>
      </c>
      <c r="D92">
        <v>1</v>
      </c>
      <c r="E92">
        <v>86</v>
      </c>
      <c r="F92">
        <v>750</v>
      </c>
      <c r="G92" s="1">
        <v>95496.4</v>
      </c>
    </row>
    <row r="93" spans="1:7" x14ac:dyDescent="0.25">
      <c r="A93" t="s">
        <v>27</v>
      </c>
      <c r="B93">
        <v>43046</v>
      </c>
      <c r="C93">
        <v>12</v>
      </c>
      <c r="D93">
        <v>1</v>
      </c>
      <c r="E93">
        <v>80</v>
      </c>
      <c r="F93">
        <v>750</v>
      </c>
      <c r="G93" s="1">
        <v>96734.04</v>
      </c>
    </row>
    <row r="94" spans="1:7" x14ac:dyDescent="0.25">
      <c r="A94" t="s">
        <v>26</v>
      </c>
      <c r="B94">
        <v>43197</v>
      </c>
      <c r="C94">
        <v>12</v>
      </c>
      <c r="D94">
        <v>1</v>
      </c>
      <c r="E94">
        <v>70</v>
      </c>
      <c r="F94">
        <v>750</v>
      </c>
      <c r="G94" s="1">
        <v>99284.27</v>
      </c>
    </row>
    <row r="95" spans="1:7" x14ac:dyDescent="0.25">
      <c r="A95" t="s">
        <v>25</v>
      </c>
      <c r="B95">
        <v>64336</v>
      </c>
      <c r="C95">
        <v>12</v>
      </c>
      <c r="D95">
        <v>1</v>
      </c>
      <c r="E95">
        <v>80</v>
      </c>
      <c r="F95">
        <v>750</v>
      </c>
      <c r="G95" s="1">
        <v>110643.52</v>
      </c>
    </row>
    <row r="96" spans="1:7" x14ac:dyDescent="0.25">
      <c r="A96" t="s">
        <v>24</v>
      </c>
      <c r="B96">
        <v>89121</v>
      </c>
      <c r="C96">
        <v>12</v>
      </c>
      <c r="D96">
        <v>1</v>
      </c>
      <c r="E96">
        <v>80</v>
      </c>
      <c r="F96">
        <v>750</v>
      </c>
      <c r="G96" s="1">
        <v>130854.39</v>
      </c>
    </row>
    <row r="97" spans="1:7" x14ac:dyDescent="0.25">
      <c r="A97" t="s">
        <v>15</v>
      </c>
      <c r="B97">
        <v>43388</v>
      </c>
      <c r="C97">
        <v>6</v>
      </c>
      <c r="D97">
        <v>1</v>
      </c>
      <c r="E97">
        <v>80</v>
      </c>
      <c r="F97">
        <v>1750</v>
      </c>
      <c r="G97" s="1">
        <v>133719.92000000001</v>
      </c>
    </row>
    <row r="98" spans="1:7" x14ac:dyDescent="0.25">
      <c r="A98" t="s">
        <v>12</v>
      </c>
      <c r="B98">
        <v>43037</v>
      </c>
      <c r="C98">
        <v>12</v>
      </c>
      <c r="D98">
        <v>1</v>
      </c>
      <c r="E98">
        <v>80</v>
      </c>
      <c r="F98">
        <v>1000</v>
      </c>
      <c r="G98" s="1">
        <v>136621.81</v>
      </c>
    </row>
    <row r="99" spans="1:7" x14ac:dyDescent="0.25">
      <c r="A99" t="s">
        <v>17</v>
      </c>
      <c r="B99">
        <v>43050</v>
      </c>
      <c r="C99">
        <v>12</v>
      </c>
      <c r="D99">
        <v>1</v>
      </c>
      <c r="E99">
        <v>70</v>
      </c>
      <c r="F99">
        <v>1000</v>
      </c>
      <c r="G99" s="1">
        <v>142477.51999999999</v>
      </c>
    </row>
    <row r="100" spans="1:7" x14ac:dyDescent="0.25">
      <c r="A100" t="s">
        <v>23</v>
      </c>
      <c r="B100">
        <v>43121</v>
      </c>
      <c r="C100">
        <v>12</v>
      </c>
      <c r="D100">
        <v>10</v>
      </c>
      <c r="E100">
        <v>80</v>
      </c>
      <c r="F100">
        <v>500</v>
      </c>
      <c r="G100" s="1">
        <v>144878.16</v>
      </c>
    </row>
    <row r="101" spans="1:7" x14ac:dyDescent="0.25">
      <c r="A101" t="s">
        <v>22</v>
      </c>
      <c r="B101">
        <v>4020</v>
      </c>
      <c r="C101">
        <v>3</v>
      </c>
      <c r="D101">
        <v>1</v>
      </c>
      <c r="E101">
        <v>80</v>
      </c>
      <c r="F101">
        <v>1750</v>
      </c>
      <c r="G101" s="1">
        <v>145473.93</v>
      </c>
    </row>
    <row r="102" spans="1:7" x14ac:dyDescent="0.25">
      <c r="A102" t="s">
        <v>21</v>
      </c>
      <c r="B102">
        <v>43117</v>
      </c>
      <c r="C102">
        <v>12</v>
      </c>
      <c r="D102">
        <v>1</v>
      </c>
      <c r="E102">
        <v>70</v>
      </c>
      <c r="F102">
        <v>1000</v>
      </c>
      <c r="G102" s="1">
        <v>173904.78</v>
      </c>
    </row>
    <row r="103" spans="1:7" x14ac:dyDescent="0.25">
      <c r="A103" t="s">
        <v>10</v>
      </c>
      <c r="B103">
        <v>28238</v>
      </c>
      <c r="C103">
        <v>6</v>
      </c>
      <c r="D103">
        <v>1</v>
      </c>
      <c r="E103">
        <v>94</v>
      </c>
      <c r="F103">
        <v>1750</v>
      </c>
      <c r="G103" s="1">
        <v>182396.83</v>
      </c>
    </row>
    <row r="104" spans="1:7" x14ac:dyDescent="0.25">
      <c r="A104" t="s">
        <v>20</v>
      </c>
      <c r="B104">
        <v>66836</v>
      </c>
      <c r="C104">
        <v>6</v>
      </c>
      <c r="D104">
        <v>1</v>
      </c>
      <c r="E104">
        <v>40</v>
      </c>
      <c r="F104">
        <v>750</v>
      </c>
      <c r="G104" s="1">
        <v>187809.75</v>
      </c>
    </row>
    <row r="105" spans="1:7" x14ac:dyDescent="0.25">
      <c r="A105" t="s">
        <v>19</v>
      </c>
      <c r="B105">
        <v>64876</v>
      </c>
      <c r="C105">
        <v>12</v>
      </c>
      <c r="D105">
        <v>1</v>
      </c>
      <c r="E105">
        <v>80</v>
      </c>
      <c r="F105">
        <v>750</v>
      </c>
      <c r="G105" s="1">
        <v>188889.60000000001</v>
      </c>
    </row>
    <row r="106" spans="1:7" x14ac:dyDescent="0.25">
      <c r="A106" t="s">
        <v>18</v>
      </c>
      <c r="B106">
        <v>43205</v>
      </c>
      <c r="C106">
        <v>12</v>
      </c>
      <c r="D106">
        <v>1</v>
      </c>
      <c r="E106">
        <v>70</v>
      </c>
      <c r="F106">
        <v>750</v>
      </c>
      <c r="G106" s="1">
        <v>191517.39</v>
      </c>
    </row>
    <row r="107" spans="1:7" x14ac:dyDescent="0.25">
      <c r="A107" t="s">
        <v>8</v>
      </c>
      <c r="B107">
        <v>43124</v>
      </c>
      <c r="C107">
        <v>24</v>
      </c>
      <c r="D107">
        <v>1</v>
      </c>
      <c r="E107">
        <v>80</v>
      </c>
      <c r="F107">
        <v>375</v>
      </c>
      <c r="G107" s="1">
        <v>238584.2</v>
      </c>
    </row>
    <row r="108" spans="1:7" x14ac:dyDescent="0.25">
      <c r="A108" t="s">
        <v>9</v>
      </c>
      <c r="B108">
        <v>43138</v>
      </c>
      <c r="C108">
        <v>6</v>
      </c>
      <c r="D108">
        <v>1</v>
      </c>
      <c r="E108">
        <v>70</v>
      </c>
      <c r="F108">
        <v>1750</v>
      </c>
      <c r="G108" s="1">
        <v>240530.82</v>
      </c>
    </row>
    <row r="109" spans="1:7" x14ac:dyDescent="0.25">
      <c r="A109" t="s">
        <v>17</v>
      </c>
      <c r="B109">
        <v>43051</v>
      </c>
      <c r="C109">
        <v>12</v>
      </c>
      <c r="D109">
        <v>1</v>
      </c>
      <c r="E109">
        <v>70</v>
      </c>
      <c r="F109">
        <v>750</v>
      </c>
      <c r="G109" s="1">
        <v>252576.22</v>
      </c>
    </row>
    <row r="110" spans="1:7" x14ac:dyDescent="0.25">
      <c r="A110" t="s">
        <v>16</v>
      </c>
      <c r="B110">
        <v>43156</v>
      </c>
      <c r="C110">
        <v>12</v>
      </c>
      <c r="D110">
        <v>1</v>
      </c>
      <c r="E110">
        <v>151</v>
      </c>
      <c r="F110">
        <v>750</v>
      </c>
      <c r="G110" s="1">
        <v>253154.34</v>
      </c>
    </row>
    <row r="111" spans="1:7" x14ac:dyDescent="0.25">
      <c r="A111" t="s">
        <v>12</v>
      </c>
      <c r="B111">
        <v>43036</v>
      </c>
      <c r="C111">
        <v>12</v>
      </c>
      <c r="D111">
        <v>1</v>
      </c>
      <c r="E111">
        <v>80</v>
      </c>
      <c r="F111">
        <v>750</v>
      </c>
      <c r="G111" s="1">
        <v>262684.98</v>
      </c>
    </row>
    <row r="112" spans="1:7" x14ac:dyDescent="0.25">
      <c r="A112" t="s">
        <v>11</v>
      </c>
      <c r="B112">
        <v>4866</v>
      </c>
      <c r="C112">
        <v>12</v>
      </c>
      <c r="D112">
        <v>1</v>
      </c>
      <c r="E112">
        <v>80</v>
      </c>
      <c r="F112">
        <v>750</v>
      </c>
      <c r="G112" s="1">
        <v>298422.92</v>
      </c>
    </row>
    <row r="113" spans="1:7" x14ac:dyDescent="0.25">
      <c r="A113" t="s">
        <v>15</v>
      </c>
      <c r="B113">
        <v>43387</v>
      </c>
      <c r="C113">
        <v>12</v>
      </c>
      <c r="D113">
        <v>1</v>
      </c>
      <c r="E113">
        <v>80</v>
      </c>
      <c r="F113">
        <v>1000</v>
      </c>
      <c r="G113" s="1">
        <v>298479.53999999998</v>
      </c>
    </row>
    <row r="114" spans="1:7" x14ac:dyDescent="0.25">
      <c r="A114" t="s">
        <v>14</v>
      </c>
      <c r="B114">
        <v>43120</v>
      </c>
      <c r="C114">
        <v>6</v>
      </c>
      <c r="D114">
        <v>1</v>
      </c>
      <c r="E114">
        <v>80</v>
      </c>
      <c r="F114">
        <v>1750</v>
      </c>
      <c r="G114" s="1">
        <v>353430</v>
      </c>
    </row>
    <row r="115" spans="1:7" x14ac:dyDescent="0.25">
      <c r="A115" t="s">
        <v>7</v>
      </c>
      <c r="B115">
        <v>34359</v>
      </c>
      <c r="C115">
        <v>12</v>
      </c>
      <c r="D115">
        <v>1</v>
      </c>
      <c r="E115">
        <v>80</v>
      </c>
      <c r="F115">
        <v>200</v>
      </c>
      <c r="G115" s="1">
        <v>355916.22</v>
      </c>
    </row>
    <row r="116" spans="1:7" x14ac:dyDescent="0.25">
      <c r="A116" t="s">
        <v>11</v>
      </c>
      <c r="B116">
        <v>4868</v>
      </c>
      <c r="C116">
        <v>6</v>
      </c>
      <c r="D116">
        <v>1</v>
      </c>
      <c r="E116">
        <v>80</v>
      </c>
      <c r="F116">
        <v>1750</v>
      </c>
      <c r="G116" s="1">
        <v>378470.76</v>
      </c>
    </row>
    <row r="117" spans="1:7" x14ac:dyDescent="0.25">
      <c r="A117" t="s">
        <v>10</v>
      </c>
      <c r="B117">
        <v>28236</v>
      </c>
      <c r="C117">
        <v>12</v>
      </c>
      <c r="D117">
        <v>1</v>
      </c>
      <c r="E117">
        <v>94</v>
      </c>
      <c r="F117">
        <v>750</v>
      </c>
      <c r="G117" s="1">
        <v>391050.66</v>
      </c>
    </row>
    <row r="118" spans="1:7" x14ac:dyDescent="0.25">
      <c r="A118" t="s">
        <v>13</v>
      </c>
      <c r="B118">
        <v>43125</v>
      </c>
      <c r="C118">
        <v>12</v>
      </c>
      <c r="D118">
        <v>1</v>
      </c>
      <c r="E118">
        <v>80</v>
      </c>
      <c r="F118">
        <v>750</v>
      </c>
      <c r="G118" s="1">
        <v>397117.02</v>
      </c>
    </row>
    <row r="119" spans="1:7" x14ac:dyDescent="0.25">
      <c r="A119" t="s">
        <v>12</v>
      </c>
      <c r="B119">
        <v>43038</v>
      </c>
      <c r="C119">
        <v>6</v>
      </c>
      <c r="D119">
        <v>1</v>
      </c>
      <c r="E119">
        <v>80</v>
      </c>
      <c r="F119">
        <v>1750</v>
      </c>
      <c r="G119" s="1">
        <v>397957.9</v>
      </c>
    </row>
    <row r="120" spans="1:7" x14ac:dyDescent="0.25">
      <c r="A120" t="s">
        <v>7</v>
      </c>
      <c r="B120">
        <v>34425</v>
      </c>
      <c r="C120">
        <v>6</v>
      </c>
      <c r="D120">
        <v>1</v>
      </c>
      <c r="E120">
        <v>80</v>
      </c>
      <c r="F120">
        <v>1750</v>
      </c>
      <c r="G120" s="1">
        <v>427277.34</v>
      </c>
    </row>
    <row r="121" spans="1:7" x14ac:dyDescent="0.25">
      <c r="A121" t="s">
        <v>9</v>
      </c>
      <c r="B121">
        <v>43136</v>
      </c>
      <c r="C121">
        <v>12</v>
      </c>
      <c r="D121">
        <v>1</v>
      </c>
      <c r="E121">
        <v>70</v>
      </c>
      <c r="F121">
        <v>750</v>
      </c>
      <c r="G121" s="1">
        <v>462801.26</v>
      </c>
    </row>
    <row r="122" spans="1:7" x14ac:dyDescent="0.25">
      <c r="A122" t="s">
        <v>7</v>
      </c>
      <c r="B122">
        <v>34423</v>
      </c>
      <c r="C122">
        <v>12</v>
      </c>
      <c r="D122">
        <v>1</v>
      </c>
      <c r="E122">
        <v>80</v>
      </c>
      <c r="F122">
        <v>375</v>
      </c>
      <c r="G122" s="1">
        <v>533905.19999999995</v>
      </c>
    </row>
    <row r="123" spans="1:7" x14ac:dyDescent="0.25">
      <c r="A123" t="s">
        <v>11</v>
      </c>
      <c r="B123">
        <v>4867</v>
      </c>
      <c r="C123">
        <v>12</v>
      </c>
      <c r="D123">
        <v>1</v>
      </c>
      <c r="E123">
        <v>80</v>
      </c>
      <c r="F123">
        <v>1000</v>
      </c>
      <c r="G123" s="1">
        <v>568563.84</v>
      </c>
    </row>
    <row r="124" spans="1:7" x14ac:dyDescent="0.25">
      <c r="A124" t="s">
        <v>10</v>
      </c>
      <c r="B124">
        <v>28233</v>
      </c>
      <c r="C124">
        <v>12</v>
      </c>
      <c r="D124">
        <v>1</v>
      </c>
      <c r="E124">
        <v>94</v>
      </c>
      <c r="F124">
        <v>1000</v>
      </c>
      <c r="G124" s="1">
        <v>690740.18</v>
      </c>
    </row>
    <row r="125" spans="1:7" x14ac:dyDescent="0.25">
      <c r="A125" t="s">
        <v>9</v>
      </c>
      <c r="B125">
        <v>43137</v>
      </c>
      <c r="C125">
        <v>12</v>
      </c>
      <c r="D125">
        <v>1</v>
      </c>
      <c r="E125">
        <v>70</v>
      </c>
      <c r="F125">
        <v>1000</v>
      </c>
      <c r="G125" s="1">
        <v>771161.8</v>
      </c>
    </row>
    <row r="126" spans="1:7" x14ac:dyDescent="0.25">
      <c r="A126" t="s">
        <v>8</v>
      </c>
      <c r="B126">
        <v>43126</v>
      </c>
      <c r="C126">
        <v>12</v>
      </c>
      <c r="D126">
        <v>1</v>
      </c>
      <c r="E126">
        <v>80</v>
      </c>
      <c r="F126">
        <v>750</v>
      </c>
      <c r="G126" s="1">
        <v>971856.24</v>
      </c>
    </row>
    <row r="127" spans="1:7" x14ac:dyDescent="0.25">
      <c r="A127" t="s">
        <v>8</v>
      </c>
      <c r="B127">
        <v>43128</v>
      </c>
      <c r="C127">
        <v>6</v>
      </c>
      <c r="D127">
        <v>1</v>
      </c>
      <c r="E127">
        <v>80</v>
      </c>
      <c r="F127">
        <v>1750</v>
      </c>
      <c r="G127" s="1">
        <v>1703967.5</v>
      </c>
    </row>
    <row r="128" spans="1:7" x14ac:dyDescent="0.25">
      <c r="A128" t="s">
        <v>8</v>
      </c>
      <c r="B128">
        <v>43127</v>
      </c>
      <c r="C128">
        <v>12</v>
      </c>
      <c r="D128">
        <v>1</v>
      </c>
      <c r="E128">
        <v>80</v>
      </c>
      <c r="F128">
        <v>1000</v>
      </c>
      <c r="G128" s="1">
        <v>1912471.22</v>
      </c>
    </row>
    <row r="129" spans="1:7" x14ac:dyDescent="0.25">
      <c r="A129" t="s">
        <v>7</v>
      </c>
      <c r="B129">
        <v>34433</v>
      </c>
      <c r="C129">
        <v>12</v>
      </c>
      <c r="D129">
        <v>1</v>
      </c>
      <c r="E129">
        <v>80</v>
      </c>
      <c r="F129">
        <v>750</v>
      </c>
      <c r="G129" s="1">
        <v>1974172.58</v>
      </c>
    </row>
    <row r="130" spans="1:7" x14ac:dyDescent="0.25">
      <c r="A130" t="s">
        <v>7</v>
      </c>
      <c r="B130">
        <v>34422</v>
      </c>
      <c r="C130">
        <v>6</v>
      </c>
      <c r="D130">
        <v>1</v>
      </c>
      <c r="E130">
        <v>80</v>
      </c>
      <c r="F130">
        <v>1000</v>
      </c>
      <c r="G130" s="1">
        <v>3153668.04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data-1777491838302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onur karaer</cp:lastModifiedBy>
  <dcterms:created xsi:type="dcterms:W3CDTF">2026-04-29T19:44:24Z</dcterms:created>
  <dcterms:modified xsi:type="dcterms:W3CDTF">2026-04-30T19:31:56Z</dcterms:modified>
</cp:coreProperties>
</file>
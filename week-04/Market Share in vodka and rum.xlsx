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4B6EF931-FEB9-4E49-9CA9-51B443F407FF}" xr6:coauthVersionLast="47" xr6:coauthVersionMax="47" xr10:uidLastSave="{00000000-0000-0000-0000-000000000000}"/>
  <bookViews>
    <workbookView xWindow="-120" yWindow="-120" windowWidth="29040" windowHeight="15720" xr2:uid="{BE67EC8E-4C65-4CF7-B2D5-DECD69E644FF}"/>
  </bookViews>
  <sheets>
    <sheet name="rum" sheetId="1" r:id="rId1"/>
    <sheet name="vodk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C7" i="1"/>
  <c r="D6" i="2"/>
  <c r="D5" i="2"/>
  <c r="D4" i="2"/>
  <c r="D3" i="2"/>
  <c r="D2" i="2"/>
  <c r="C7" i="2"/>
</calcChain>
</file>

<file path=xl/sharedStrings.xml><?xml version="1.0" encoding="utf-8"?>
<sst xmlns="http://schemas.openxmlformats.org/spreadsheetml/2006/main" count="42" uniqueCount="12">
  <si>
    <t>vendor_group</t>
  </si>
  <si>
    <t>category_group</t>
  </si>
  <si>
    <t>category_revenue</t>
  </si>
  <si>
    <t>share_within_category_pct</t>
  </si>
  <si>
    <t>Diageo Americas</t>
  </si>
  <si>
    <t>Rum</t>
  </si>
  <si>
    <t>Bacardi</t>
  </si>
  <si>
    <t>Others</t>
  </si>
  <si>
    <t>Pernod Ricard</t>
  </si>
  <si>
    <t>Luxco</t>
  </si>
  <si>
    <t>Vodka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</si>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</sst>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8" fontId="0" fillId="0" borderId="0" xfId="0" applyNumberFormat="1"/>
    <xf numFmtId="9" fontId="0" fillId="0" borderId="0" xfId="42" applyFont="1"/>
    <xf numFmtId="0" fontId="0" fillId="33" borderId="0" xfId="0" applyFill="1"/>
    <xf numFmtId="8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rum!$B$12</c:f>
              <c:strCache>
                <c:ptCount val="1"/>
                <c:pt idx="0">
                  <c:v>category_revenue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E9-4BED-A269-30B3C64B96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E9-4BED-A269-30B3C64B96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E9-4BED-A269-30B3C64B96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E9-4BED-A269-30B3C64B96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E9-4BED-A269-30B3C64B96C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rum!$A$13:$A$17</c:f>
              <c:strCache>
                <c:ptCount val="5"/>
                <c:pt idx="0">
                  <c:v>Diageo Americas</c:v>
                </c:pt>
                <c:pt idx="1">
                  <c:v>Bacardi</c:v>
                </c:pt>
                <c:pt idx="2">
                  <c:v>Others</c:v>
                </c:pt>
                <c:pt idx="3">
                  <c:v>Pernod Ricard</c:v>
                </c:pt>
                <c:pt idx="4">
                  <c:v>Luxco</c:v>
                </c:pt>
              </c:strCache>
            </c:strRef>
          </c:cat>
          <c:val>
            <c:numRef>
              <c:f>rum!$B$13:$B$17</c:f>
              <c:numCache>
                <c:formatCode>"$"#,##0.00_);[Red]\("$"#,##0.00\)</c:formatCode>
                <c:ptCount val="5"/>
                <c:pt idx="0">
                  <c:v>25641733.16</c:v>
                </c:pt>
                <c:pt idx="1">
                  <c:v>10566827.359999999</c:v>
                </c:pt>
                <c:pt idx="2">
                  <c:v>9036864.3599999994</c:v>
                </c:pt>
                <c:pt idx="3">
                  <c:v>4148866.69</c:v>
                </c:pt>
                <c:pt idx="4">
                  <c:v>3732361.62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F-4597-A045-45831E076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rum!$B$12</c:f>
              <c:strCache>
                <c:ptCount val="1"/>
                <c:pt idx="0">
                  <c:v>category_revenue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rum!$A$13:$A$17</c:f>
              <c:strCache>
                <c:ptCount val="5"/>
                <c:pt idx="0">
                  <c:v>Diageo Americas</c:v>
                </c:pt>
                <c:pt idx="1">
                  <c:v>Bacardi</c:v>
                </c:pt>
                <c:pt idx="2">
                  <c:v>Others</c:v>
                </c:pt>
                <c:pt idx="3">
                  <c:v>Pernod Ricard</c:v>
                </c:pt>
                <c:pt idx="4">
                  <c:v>Luxco</c:v>
                </c:pt>
              </c:strCache>
            </c:strRef>
          </c:cat>
          <c:val>
            <c:numRef>
              <c:f>rum!$B$13:$B$17</c:f>
              <c:numCache>
                <c:formatCode>"$"#,##0.00_);[Red]\("$"#,##0.00\)</c:formatCode>
                <c:ptCount val="5"/>
                <c:pt idx="0">
                  <c:v>25641733.16</c:v>
                </c:pt>
                <c:pt idx="1">
                  <c:v>10566827.359999999</c:v>
                </c:pt>
                <c:pt idx="2">
                  <c:v>9036864.3599999994</c:v>
                </c:pt>
                <c:pt idx="3">
                  <c:v>4148866.69</c:v>
                </c:pt>
                <c:pt idx="4">
                  <c:v>3732361.62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C-4EA0-AC0E-989C25EAF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5982832"/>
        <c:axId val="2055973232"/>
      </c:barChart>
      <c:catAx>
        <c:axId val="205598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73232"/>
        <c:crosses val="autoZero"/>
        <c:auto val="1"/>
        <c:lblAlgn val="ctr"/>
        <c:lblOffset val="100"/>
        <c:noMultiLvlLbl val="0"/>
      </c:catAx>
      <c:valAx>
        <c:axId val="205597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8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Vodka 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vodka!$B$11</c:f>
              <c:strCache>
                <c:ptCount val="1"/>
                <c:pt idx="0">
                  <c:v>category_revenue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B8-4344-A761-C4EA246F15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B8-4344-A761-C4EA246F15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B8-4344-A761-C4EA246F15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B8-4344-A761-C4EA246F15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B8-4344-A761-C4EA246F1505}"/>
              </c:ext>
            </c:extLst>
          </c:dPt>
          <c:cat>
            <c:strRef>
              <c:f>vodka!$A$12:$A$16</c:f>
              <c:strCache>
                <c:ptCount val="5"/>
                <c:pt idx="0">
                  <c:v>Others</c:v>
                </c:pt>
                <c:pt idx="1">
                  <c:v>Diageo Americas</c:v>
                </c:pt>
                <c:pt idx="2">
                  <c:v>Pernod Ricard</c:v>
                </c:pt>
                <c:pt idx="3">
                  <c:v>Luxco</c:v>
                </c:pt>
                <c:pt idx="4">
                  <c:v>Bacardi</c:v>
                </c:pt>
              </c:strCache>
            </c:strRef>
          </c:cat>
          <c:val>
            <c:numRef>
              <c:f>vodka!$B$12:$B$16</c:f>
              <c:numCache>
                <c:formatCode>"$"#,##0.00_);[Red]\("$"#,##0.00\)</c:formatCode>
                <c:ptCount val="5"/>
                <c:pt idx="0">
                  <c:v>46258863.420000002</c:v>
                </c:pt>
                <c:pt idx="1">
                  <c:v>19082595.370000001</c:v>
                </c:pt>
                <c:pt idx="2">
                  <c:v>10904201.68</c:v>
                </c:pt>
                <c:pt idx="3">
                  <c:v>9947284.8100000005</c:v>
                </c:pt>
                <c:pt idx="4">
                  <c:v>6800759.8799999999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2-4CFE-8E5D-C3F53A693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11</xdr:row>
      <xdr:rowOff>52387</xdr:rowOff>
    </xdr:from>
    <xdr:to>
      <xdr:col>14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7B12E-200B-D8BE-2916-E45BB8F17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11</xdr:row>
      <xdr:rowOff>52387</xdr:rowOff>
    </xdr:from>
    <xdr:to>
      <xdr:col>14</xdr:col>
      <xdr:colOff>228600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345492-E5D9-8DFA-AA24-2F6ADCD44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11</xdr:row>
      <xdr:rowOff>52387</xdr:rowOff>
    </xdr:from>
    <xdr:to>
      <xdr:col>16</xdr:col>
      <xdr:colOff>38100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DE822-636E-95A8-35B2-09AA28E3F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78A7A-D622-4836-91F9-4AA0E69D41B8}" name="Table1" displayName="Table1" ref="A12:B17" totalsRowShown="0">
  <autoFilter ref="A12:B17" xr:uid="{E1A78A7A-D622-4836-91F9-4AA0E69D41B8}"/>
  <sortState xmlns:xlrd2="http://schemas.microsoft.com/office/spreadsheetml/2017/richdata2" ref="A13:B17">
    <sortCondition descending="1" ref="B12:B17"/>
  </sortState>
  <tableColumns count="2">
    <tableColumn id="1" xr3:uid="{77551D96-BA85-4FDC-8EA8-DA45E1E49BCD}" name="vendor_group"/>
    <tableColumn id="2" xr3:uid="{B0DE714C-D383-4AD6-9225-4BA3E7AA938F}" name="category_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6075-2EE9-4F34-952C-A7C661EB684A}">
  <dimension ref="A1:D17"/>
  <sheetViews>
    <sheetView tabSelected="1" workbookViewId="0">
      <selection activeCell="D19" sqref="D19"/>
    </sheetView>
  </sheetViews>
  <sheetFormatPr defaultRowHeight="15" x14ac:dyDescent="0.25"/>
  <cols>
    <col min="1" max="1" width="16" bestFit="1" customWidth="1"/>
    <col min="2" max="2" width="19.140625" customWidth="1"/>
    <col min="3" max="3" width="16.28515625" bestFit="1" customWidth="1"/>
    <col min="4" max="4" width="2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25641733.16</v>
      </c>
      <c r="D2" s="2">
        <f>C2/$C$7</f>
        <v>0.48265289869278899</v>
      </c>
    </row>
    <row r="3" spans="1:4" x14ac:dyDescent="0.25">
      <c r="A3" t="s">
        <v>6</v>
      </c>
      <c r="B3" t="s">
        <v>5</v>
      </c>
      <c r="C3" s="1">
        <v>10566827.359999999</v>
      </c>
      <c r="D3" s="2">
        <f t="shared" ref="D3:D6" si="0">C3/$C$7</f>
        <v>0.19889879609410421</v>
      </c>
    </row>
    <row r="4" spans="1:4" x14ac:dyDescent="0.25">
      <c r="A4" t="s">
        <v>7</v>
      </c>
      <c r="B4" t="s">
        <v>5</v>
      </c>
      <c r="C4" s="1">
        <v>9036864.3599999994</v>
      </c>
      <c r="D4" s="2">
        <f t="shared" si="0"/>
        <v>0.17010038873860409</v>
      </c>
    </row>
    <row r="5" spans="1:4" x14ac:dyDescent="0.25">
      <c r="A5" t="s">
        <v>8</v>
      </c>
      <c r="B5" t="s">
        <v>5</v>
      </c>
      <c r="C5" s="1">
        <v>4148866.69</v>
      </c>
      <c r="D5" s="2">
        <f t="shared" si="0"/>
        <v>7.8093883971236858E-2</v>
      </c>
    </row>
    <row r="6" spans="1:4" x14ac:dyDescent="0.25">
      <c r="A6" t="s">
        <v>9</v>
      </c>
      <c r="B6" t="s">
        <v>5</v>
      </c>
      <c r="C6" s="1">
        <v>3732361.62</v>
      </c>
      <c r="D6" s="2">
        <f t="shared" si="0"/>
        <v>7.0254032503266006E-2</v>
      </c>
    </row>
    <row r="7" spans="1:4" x14ac:dyDescent="0.25">
      <c r="C7" s="1">
        <f>SUM(C2:C6)</f>
        <v>53126653.18999999</v>
      </c>
    </row>
    <row r="12" spans="1:4" x14ac:dyDescent="0.25">
      <c r="A12" t="s">
        <v>0</v>
      </c>
      <c r="B12" t="s">
        <v>2</v>
      </c>
    </row>
    <row r="13" spans="1:4" x14ac:dyDescent="0.25">
      <c r="A13" t="s">
        <v>4</v>
      </c>
      <c r="B13" s="1">
        <v>25641733.16</v>
      </c>
    </row>
    <row r="14" spans="1:4" x14ac:dyDescent="0.25">
      <c r="A14" s="3" t="s">
        <v>6</v>
      </c>
      <c r="B14" s="4">
        <v>10566827.359999999</v>
      </c>
    </row>
    <row r="15" spans="1:4" x14ac:dyDescent="0.25">
      <c r="A15" t="s">
        <v>7</v>
      </c>
      <c r="B15" s="1">
        <v>9036864.3599999994</v>
      </c>
    </row>
    <row r="16" spans="1:4" x14ac:dyDescent="0.25">
      <c r="A16" t="s">
        <v>8</v>
      </c>
      <c r="B16" s="1">
        <v>4148866.69</v>
      </c>
    </row>
    <row r="17" spans="1:2" x14ac:dyDescent="0.25">
      <c r="A17" t="s">
        <v>9</v>
      </c>
      <c r="B17" s="1">
        <v>3732361.62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43B9-D155-4E8F-A7F0-108874549C04}">
  <dimension ref="A1:D16"/>
  <sheetViews>
    <sheetView workbookViewId="0">
      <selection activeCell="C26" sqref="C26"/>
    </sheetView>
  </sheetViews>
  <sheetFormatPr defaultRowHeight="15" x14ac:dyDescent="0.25"/>
  <cols>
    <col min="1" max="1" width="16" bestFit="1" customWidth="1"/>
    <col min="2" max="3" width="1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7</v>
      </c>
      <c r="B2" t="s">
        <v>10</v>
      </c>
      <c r="C2" s="1">
        <v>46258863.420000002</v>
      </c>
      <c r="D2" s="2">
        <f>C2/C7</f>
        <v>0.49744080355126702</v>
      </c>
    </row>
    <row r="3" spans="1:4" x14ac:dyDescent="0.25">
      <c r="A3" t="s">
        <v>4</v>
      </c>
      <c r="B3" t="s">
        <v>10</v>
      </c>
      <c r="C3" s="1">
        <v>19082595.370000001</v>
      </c>
      <c r="D3" s="2">
        <f>C3/C7</f>
        <v>0.2052030869957005</v>
      </c>
    </row>
    <row r="4" spans="1:4" x14ac:dyDescent="0.25">
      <c r="A4" t="s">
        <v>8</v>
      </c>
      <c r="B4" t="s">
        <v>10</v>
      </c>
      <c r="C4" s="1">
        <v>10904201.68</v>
      </c>
      <c r="D4" s="2">
        <f>C4/C7</f>
        <v>0.11725741716860097</v>
      </c>
    </row>
    <row r="5" spans="1:4" x14ac:dyDescent="0.25">
      <c r="A5" t="s">
        <v>9</v>
      </c>
      <c r="B5" t="s">
        <v>10</v>
      </c>
      <c r="C5" s="1">
        <v>9947284.8100000005</v>
      </c>
      <c r="D5" s="2">
        <f>C5/C7</f>
        <v>0.10696729195686132</v>
      </c>
    </row>
    <row r="6" spans="1:4" x14ac:dyDescent="0.25">
      <c r="A6" t="s">
        <v>6</v>
      </c>
      <c r="B6" t="s">
        <v>10</v>
      </c>
      <c r="C6" s="1">
        <v>6800759.8799999999</v>
      </c>
      <c r="D6" s="2">
        <f>C6/C7</f>
        <v>7.3131400327570303E-2</v>
      </c>
    </row>
    <row r="7" spans="1:4" x14ac:dyDescent="0.25">
      <c r="C7" s="1">
        <f>SUM(C2:C6)</f>
        <v>92993705.159999996</v>
      </c>
    </row>
    <row r="11" spans="1:4" x14ac:dyDescent="0.25">
      <c r="A11" t="s">
        <v>0</v>
      </c>
      <c r="B11" t="s">
        <v>2</v>
      </c>
    </row>
    <row r="12" spans="1:4" x14ac:dyDescent="0.25">
      <c r="A12" t="s">
        <v>7</v>
      </c>
      <c r="B12" s="1">
        <v>46258863.420000002</v>
      </c>
    </row>
    <row r="13" spans="1:4" x14ac:dyDescent="0.25">
      <c r="A13" t="s">
        <v>4</v>
      </c>
      <c r="B13" s="1">
        <v>19082595.370000001</v>
      </c>
    </row>
    <row r="14" spans="1:4" x14ac:dyDescent="0.25">
      <c r="A14" t="s">
        <v>8</v>
      </c>
      <c r="B14" s="1">
        <v>10904201.68</v>
      </c>
    </row>
    <row r="15" spans="1:4" x14ac:dyDescent="0.25">
      <c r="A15" t="s">
        <v>9</v>
      </c>
      <c r="B15" s="1">
        <v>9947284.8100000005</v>
      </c>
    </row>
    <row r="16" spans="1:4" x14ac:dyDescent="0.25">
      <c r="A16" t="s">
        <v>6</v>
      </c>
      <c r="B16" s="1">
        <v>6800759.8799999999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rum</vt:lpstr>
      <vt:lpstr>vodka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2026-04-29T19:59:45Z</dcterms:created>
  <dcterms:modified xsi:type="dcterms:W3CDTF">2026-05-01T05:11:44Z</dcterms:modified>
</cp:coreProperties>
</file>
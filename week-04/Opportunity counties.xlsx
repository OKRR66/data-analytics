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8B27284D-A90A-4065-B693-0E222A03C40D}" xr6:coauthVersionLast="47" xr6:coauthVersionMax="47" xr10:uidLastSave="{00000000-0000-0000-0000-000000000000}"/>
  <bookViews>
    <workbookView xWindow="-120" yWindow="-120" windowWidth="29040" windowHeight="15720" xr2:uid="{DFFEABD4-FC9C-452B-A70A-6717FFEF8536}"/>
  </bookViews>
  <sheets>
    <sheet name="data-177748609858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7" i="1" l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F89" i="1"/>
  <c r="F99" i="1"/>
  <c r="F92" i="1"/>
  <c r="F97" i="1"/>
  <c r="F94" i="1"/>
  <c r="F91" i="1"/>
  <c r="F95" i="1"/>
  <c r="F84" i="1"/>
  <c r="F87" i="1"/>
  <c r="F52" i="1"/>
  <c r="F70" i="1"/>
  <c r="F83" i="1"/>
  <c r="F86" i="1"/>
  <c r="F77" i="1"/>
  <c r="F75" i="1"/>
  <c r="F76" i="1"/>
  <c r="F88" i="1"/>
  <c r="F59" i="1"/>
  <c r="F85" i="1"/>
  <c r="F42" i="1"/>
  <c r="F74" i="1"/>
  <c r="F80" i="1"/>
  <c r="F48" i="1"/>
  <c r="F64" i="1"/>
  <c r="F38" i="1"/>
  <c r="F45" i="1"/>
  <c r="F27" i="1"/>
  <c r="F65" i="1"/>
  <c r="F49" i="1"/>
  <c r="F90" i="1"/>
  <c r="F60" i="1"/>
  <c r="F40" i="1"/>
  <c r="F46" i="1"/>
  <c r="F37" i="1"/>
  <c r="F33" i="1"/>
  <c r="F50" i="1"/>
  <c r="F96" i="1"/>
  <c r="F67" i="1"/>
  <c r="F43" i="1"/>
  <c r="F78" i="1"/>
  <c r="F57" i="1"/>
  <c r="F55" i="1"/>
  <c r="F21" i="1"/>
  <c r="F79" i="1"/>
  <c r="F20" i="1"/>
  <c r="F56" i="1"/>
  <c r="F72" i="1"/>
  <c r="F30" i="1"/>
  <c r="F35" i="1"/>
  <c r="F29" i="1"/>
  <c r="F34" i="1"/>
  <c r="F63" i="1"/>
  <c r="F66" i="1"/>
  <c r="F44" i="1"/>
  <c r="F32" i="1"/>
  <c r="F51" i="1"/>
  <c r="F54" i="1"/>
  <c r="F47" i="1"/>
  <c r="F53" i="1"/>
  <c r="F58" i="1"/>
  <c r="F25" i="1"/>
  <c r="F26" i="1"/>
  <c r="F4" i="1"/>
  <c r="F69" i="1"/>
  <c r="F81" i="1"/>
  <c r="F31" i="1"/>
  <c r="F62" i="1"/>
  <c r="F17" i="1"/>
  <c r="F22" i="1"/>
  <c r="F6" i="1"/>
  <c r="F24" i="1"/>
  <c r="F36" i="1"/>
  <c r="F68" i="1"/>
  <c r="F19" i="1"/>
  <c r="F12" i="1"/>
  <c r="F61" i="1"/>
  <c r="F14" i="1"/>
  <c r="F9" i="1"/>
  <c r="F8" i="1"/>
  <c r="F73" i="1"/>
  <c r="F28" i="1"/>
  <c r="F2" i="1"/>
  <c r="F15" i="1"/>
  <c r="F10" i="1"/>
  <c r="F39" i="1"/>
  <c r="F5" i="1"/>
  <c r="F16" i="1"/>
  <c r="F3" i="1"/>
  <c r="F23" i="1"/>
  <c r="F41" i="1"/>
  <c r="F7" i="1"/>
  <c r="F13" i="1"/>
  <c r="F93" i="1"/>
  <c r="F18" i="1"/>
  <c r="F82" i="1"/>
  <c r="F11" i="1"/>
  <c r="F71" i="1"/>
  <c r="F100" i="1"/>
  <c r="F98" i="1"/>
  <c r="E100" i="1"/>
  <c r="E89" i="1"/>
  <c r="E99" i="1"/>
  <c r="E92" i="1"/>
  <c r="E97" i="1"/>
  <c r="E94" i="1"/>
  <c r="E91" i="1"/>
  <c r="E95" i="1"/>
  <c r="E84" i="1"/>
  <c r="E87" i="1"/>
  <c r="E52" i="1"/>
  <c r="E70" i="1"/>
  <c r="E83" i="1"/>
  <c r="E86" i="1"/>
  <c r="E77" i="1"/>
  <c r="E75" i="1"/>
  <c r="E76" i="1"/>
  <c r="E88" i="1"/>
  <c r="E59" i="1"/>
  <c r="E85" i="1"/>
  <c r="E42" i="1"/>
  <c r="E74" i="1"/>
  <c r="E80" i="1"/>
  <c r="E48" i="1"/>
  <c r="E64" i="1"/>
  <c r="E38" i="1"/>
  <c r="E45" i="1"/>
  <c r="E27" i="1"/>
  <c r="E65" i="1"/>
  <c r="E49" i="1"/>
  <c r="E90" i="1"/>
  <c r="E60" i="1"/>
  <c r="E40" i="1"/>
  <c r="E46" i="1"/>
  <c r="E37" i="1"/>
  <c r="E33" i="1"/>
  <c r="E50" i="1"/>
  <c r="E96" i="1"/>
  <c r="E67" i="1"/>
  <c r="E43" i="1"/>
  <c r="E78" i="1"/>
  <c r="E57" i="1"/>
  <c r="E55" i="1"/>
  <c r="E21" i="1"/>
  <c r="E79" i="1"/>
  <c r="E20" i="1"/>
  <c r="E56" i="1"/>
  <c r="E72" i="1"/>
  <c r="E30" i="1"/>
  <c r="E35" i="1"/>
  <c r="E29" i="1"/>
  <c r="E34" i="1"/>
  <c r="E63" i="1"/>
  <c r="E66" i="1"/>
  <c r="E44" i="1"/>
  <c r="E32" i="1"/>
  <c r="E51" i="1"/>
  <c r="E54" i="1"/>
  <c r="E47" i="1"/>
  <c r="E53" i="1"/>
  <c r="E58" i="1"/>
  <c r="E25" i="1"/>
  <c r="E26" i="1"/>
  <c r="E4" i="1"/>
  <c r="E69" i="1"/>
  <c r="E81" i="1"/>
  <c r="E31" i="1"/>
  <c r="E62" i="1"/>
  <c r="E17" i="1"/>
  <c r="E22" i="1"/>
  <c r="E6" i="1"/>
  <c r="E24" i="1"/>
  <c r="E36" i="1"/>
  <c r="E68" i="1"/>
  <c r="E19" i="1"/>
  <c r="E12" i="1"/>
  <c r="E61" i="1"/>
  <c r="E14" i="1"/>
  <c r="E9" i="1"/>
  <c r="E8" i="1"/>
  <c r="E73" i="1"/>
  <c r="E28" i="1"/>
  <c r="E2" i="1"/>
  <c r="E15" i="1"/>
  <c r="E10" i="1"/>
  <c r="E39" i="1"/>
  <c r="E5" i="1"/>
  <c r="E16" i="1"/>
  <c r="E3" i="1"/>
  <c r="E23" i="1"/>
  <c r="E41" i="1"/>
  <c r="E7" i="1"/>
  <c r="E13" i="1"/>
  <c r="E93" i="1"/>
  <c r="E18" i="1"/>
  <c r="E82" i="1"/>
  <c r="E11" i="1"/>
  <c r="E71" i="1"/>
  <c r="E98" i="1"/>
  <c r="J2" i="1" l="1"/>
  <c r="H2" i="1"/>
</calcChain>
</file>

<file path=xl/sharedStrings.xml><?xml version="1.0" encoding="utf-8"?>
<sst xmlns="http://schemas.openxmlformats.org/spreadsheetml/2006/main" count="179" uniqueCount="107">
  <si>
    <t>county</t>
  </si>
  <si>
    <t>population</t>
  </si>
  <si>
    <t>bacardi_revenue</t>
  </si>
  <si>
    <t>total_market_revenue</t>
  </si>
  <si>
    <t>bacardi_market_share_pct</t>
  </si>
  <si>
    <t>bacardi_revenue_per_capita</t>
  </si>
  <si>
    <t>Taylor</t>
  </si>
  <si>
    <t>Fremont</t>
  </si>
  <si>
    <t>Pocahontas</t>
  </si>
  <si>
    <t>Adams</t>
  </si>
  <si>
    <t>Guthrie</t>
  </si>
  <si>
    <t>Ringgold</t>
  </si>
  <si>
    <t>Van Buren</t>
  </si>
  <si>
    <t>Louisa</t>
  </si>
  <si>
    <t>Keokuk</t>
  </si>
  <si>
    <t>Lucas</t>
  </si>
  <si>
    <t>Monroe</t>
  </si>
  <si>
    <t>O'Brien</t>
  </si>
  <si>
    <t>Cherokee</t>
  </si>
  <si>
    <t>Chickasaw</t>
  </si>
  <si>
    <t>Grundy</t>
  </si>
  <si>
    <t>Montgomery</t>
  </si>
  <si>
    <t>Madison</t>
  </si>
  <si>
    <t>Clarke</t>
  </si>
  <si>
    <t>Osceola</t>
  </si>
  <si>
    <t>Hamilton</t>
  </si>
  <si>
    <t>Butler</t>
  </si>
  <si>
    <t>Buchanan</t>
  </si>
  <si>
    <t>Cedar</t>
  </si>
  <si>
    <t>Adair</t>
  </si>
  <si>
    <t>Page</t>
  </si>
  <si>
    <t>Benton</t>
  </si>
  <si>
    <t>Poweshiek</t>
  </si>
  <si>
    <t>Fayette</t>
  </si>
  <si>
    <t>Warren</t>
  </si>
  <si>
    <t>Humboldt</t>
  </si>
  <si>
    <t>Cass</t>
  </si>
  <si>
    <t>Decatur</t>
  </si>
  <si>
    <t>Lyon</t>
  </si>
  <si>
    <t>Jackson</t>
  </si>
  <si>
    <t>Henry</t>
  </si>
  <si>
    <t>Crawford</t>
  </si>
  <si>
    <t>Jasper</t>
  </si>
  <si>
    <t>Union</t>
  </si>
  <si>
    <t>Davis</t>
  </si>
  <si>
    <t>Tama</t>
  </si>
  <si>
    <t>Floyd</t>
  </si>
  <si>
    <t>Ida</t>
  </si>
  <si>
    <t>Howard</t>
  </si>
  <si>
    <t>Jefferson</t>
  </si>
  <si>
    <t>Wapello</t>
  </si>
  <si>
    <t>Greene</t>
  </si>
  <si>
    <t>Marshall</t>
  </si>
  <si>
    <t>Appanoose</t>
  </si>
  <si>
    <t>Harrison</t>
  </si>
  <si>
    <t>Boone</t>
  </si>
  <si>
    <t>Clay</t>
  </si>
  <si>
    <t>Kossuth</t>
  </si>
  <si>
    <t>Plymouth</t>
  </si>
  <si>
    <t>Emmet</t>
  </si>
  <si>
    <t>Monona</t>
  </si>
  <si>
    <t>Mahaska</t>
  </si>
  <si>
    <t>Iowa</t>
  </si>
  <si>
    <t>Allamakee</t>
  </si>
  <si>
    <t>Clayton</t>
  </si>
  <si>
    <t>Delaware</t>
  </si>
  <si>
    <t>Wright</t>
  </si>
  <si>
    <t>Palo Alto</t>
  </si>
  <si>
    <t>Hardin</t>
  </si>
  <si>
    <t>Bremer</t>
  </si>
  <si>
    <t>Linn</t>
  </si>
  <si>
    <t>Mitchell</t>
  </si>
  <si>
    <t>Hancock</t>
  </si>
  <si>
    <t>Washington</t>
  </si>
  <si>
    <t>Sac</t>
  </si>
  <si>
    <t>Lee</t>
  </si>
  <si>
    <t>Marion</t>
  </si>
  <si>
    <t>Black Hawk</t>
  </si>
  <si>
    <t>Buena Vista</t>
  </si>
  <si>
    <t>Jones</t>
  </si>
  <si>
    <t>Mills</t>
  </si>
  <si>
    <t>Webster</t>
  </si>
  <si>
    <t>Cerro Gordo</t>
  </si>
  <si>
    <t>Franklin</t>
  </si>
  <si>
    <t>Des Moines</t>
  </si>
  <si>
    <t>Woodbury</t>
  </si>
  <si>
    <t>Pottawattamie</t>
  </si>
  <si>
    <t>Calhoun</t>
  </si>
  <si>
    <t>Winneshiek</t>
  </si>
  <si>
    <t>Polk</t>
  </si>
  <si>
    <t>Clinton</t>
  </si>
  <si>
    <t>Story</t>
  </si>
  <si>
    <t>Shelby</t>
  </si>
  <si>
    <t>Johnson</t>
  </si>
  <si>
    <t>Muscatine</t>
  </si>
  <si>
    <t>Scott</t>
  </si>
  <si>
    <t>Sioux</t>
  </si>
  <si>
    <t>Winnebago</t>
  </si>
  <si>
    <t>Dubuque</t>
  </si>
  <si>
    <t>Dickinson</t>
  </si>
  <si>
    <t>Wayne</t>
  </si>
  <si>
    <t>Carroll</t>
  </si>
  <si>
    <t>Audubon</t>
  </si>
  <si>
    <t>Dallas</t>
  </si>
  <si>
    <t>Worth</t>
  </si>
  <si>
    <t>AVG MARKET SHARE</t>
  </si>
  <si>
    <t>AVG Revenue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</si>
</sst>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8" fontId="0" fillId="0" borderId="0" xfId="0" applyNumberFormat="1"/>
    <xf numFmtId="2" fontId="0" fillId="0" borderId="0" xfId="0" applyNumberFormat="1"/>
    <xf numFmtId="0" fontId="0" fillId="34" borderId="0" xfId="0" applyFill="1"/>
    <xf numFmtId="0" fontId="0" fillId="35" borderId="0" xfId="0" applyFill="1"/>
    <xf numFmtId="8" fontId="0" fillId="35" borderId="0" xfId="0" applyNumberFormat="1" applyFill="1"/>
    <xf numFmtId="2" fontId="0" fillId="35" borderId="0" xfId="0" applyNumberFormat="1" applyFill="1"/>
    <xf numFmtId="0" fontId="0" fillId="35" borderId="10" xfId="0" applyFont="1" applyFill="1" applyBorder="1"/>
    <xf numFmtId="8" fontId="0" fillId="35" borderId="10" xfId="0" applyNumberFormat="1" applyFont="1" applyFill="1" applyBorder="1"/>
    <xf numFmtId="2" fontId="0" fillId="35" borderId="10" xfId="0" applyNumberFormat="1" applyFont="1" applyFill="1" applyBorder="1"/>
    <xf numFmtId="0" fontId="13" fillId="33" borderId="11" xfId="0" applyFont="1" applyFill="1" applyBorder="1"/>
    <xf numFmtId="0" fontId="0" fillId="35" borderId="12" xfId="0" applyFont="1" applyFill="1" applyBorder="1"/>
    <xf numFmtId="8" fontId="0" fillId="35" borderId="12" xfId="0" applyNumberFormat="1" applyFont="1" applyFill="1" applyBorder="1"/>
    <xf numFmtId="2" fontId="0" fillId="35" borderId="12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2" formatCode="&quot;$&quot;#,##0.00_);[Red]\(&quot;$&quot;#,##0.00\)"/>
    </dxf>
    <dxf>
      <numFmt numFmtId="2" formatCode="0.00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D8523-C8ED-4727-AE20-072B7FB5F329}" name="Table1" displayName="Table1" ref="A1:F100" totalsRowShown="0">
  <autoFilter ref="A1:F100" xr:uid="{983D8523-C8ED-4727-AE20-072B7FB5F329}"/>
  <sortState xmlns:xlrd2="http://schemas.microsoft.com/office/spreadsheetml/2017/richdata2" ref="A2:F100">
    <sortCondition descending="1" ref="C1:C100"/>
  </sortState>
  <tableColumns count="6">
    <tableColumn id="1" xr3:uid="{3B119417-A798-4DFE-8DF5-070C981E7B10}" name="county"/>
    <tableColumn id="2" xr3:uid="{17D6E388-C940-4B77-AF81-0DD867D274E8}" name="population"/>
    <tableColumn id="3" xr3:uid="{A4A1E547-4D15-4736-BF19-2D35E8294503}" name="bacardi_revenue" dataDxfId="14"/>
    <tableColumn id="4" xr3:uid="{28FFB984-004B-4FD2-BB07-41D67E077A42}" name="total_market_revenue" dataDxfId="13"/>
    <tableColumn id="5" xr3:uid="{098A1DA7-660D-4961-A93B-0F82D448927D}" name="bacardi_market_share_pct" dataDxfId="12">
      <calculatedColumnFormula>C2/D2*100</calculatedColumnFormula>
    </tableColumn>
    <tableColumn id="6" xr3:uid="{DD0D5946-CBFC-44F7-974B-C05B843016CA}" name="bacardi_revenue_per_capita" dataDxfId="11">
      <calculatedColumnFormula>C2/B2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1C1EA0-E225-4ABC-B3BB-96F6F7723D17}" name="Table2" displayName="Table2" ref="L1:Q67" totalsRowShown="0" headerRowDxfId="0" dataDxfId="1" headerRowBorderDxfId="9" tableBorderDxfId="10" totalsRowBorderDxfId="8">
  <autoFilter ref="L1:Q67" xr:uid="{061C1EA0-E225-4ABC-B3BB-96F6F7723D17}"/>
  <sortState xmlns:xlrd2="http://schemas.microsoft.com/office/spreadsheetml/2017/richdata2" ref="L2:Q67">
    <sortCondition descending="1" ref="Q1:Q67"/>
  </sortState>
  <tableColumns count="6">
    <tableColumn id="1" xr3:uid="{8E65B2CA-1843-4E1E-91F3-2CB1BAD44C6E}" name="county" dataDxfId="7"/>
    <tableColumn id="2" xr3:uid="{7200A321-9B92-4D9C-9FDB-BCD24474BD0E}" name="population" dataDxfId="6"/>
    <tableColumn id="3" xr3:uid="{5365F2DE-E05A-4460-A698-09A50770FD84}" name="bacardi_revenue" dataDxfId="5"/>
    <tableColumn id="4" xr3:uid="{A2C70378-0CA0-4A16-AB92-BB75A22A61D8}" name="total_market_revenue" dataDxfId="4"/>
    <tableColumn id="5" xr3:uid="{2B825ED9-0940-4CEF-A492-9DA22E0FE5D3}" name="bacardi_market_share_pct" dataDxfId="3">
      <calculatedColumnFormula>N2/O2*100</calculatedColumnFormula>
    </tableColumn>
    <tableColumn id="6" xr3:uid="{F10AE5A4-5B8E-4984-8D31-88A1C31F17B7}" name="bacardi_revenue_per_capita" dataDxfId="2">
      <calculatedColumnFormula>N2/M2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B738-6239-4F44-A0E3-4FF998BF97B5}">
  <dimension ref="A1:Q100"/>
  <sheetViews>
    <sheetView tabSelected="1" workbookViewId="0">
      <selection activeCell="N27" sqref="N27"/>
    </sheetView>
  </sheetViews>
  <sheetFormatPr defaultRowHeight="15" x14ac:dyDescent="0.25"/>
  <cols>
    <col min="1" max="1" width="13.85546875" bestFit="1" customWidth="1"/>
    <col min="2" max="2" width="12.85546875" customWidth="1"/>
    <col min="3" max="3" width="18" customWidth="1"/>
    <col min="4" max="4" width="22.7109375" customWidth="1"/>
    <col min="5" max="5" width="26.42578125" customWidth="1"/>
    <col min="6" max="6" width="28.140625" customWidth="1"/>
    <col min="8" max="8" width="18.28515625" bestFit="1" customWidth="1"/>
    <col min="10" max="10" width="15" bestFit="1" customWidth="1"/>
    <col min="12" max="12" width="9.28515625" customWidth="1"/>
    <col min="13" max="13" width="12.85546875" customWidth="1"/>
    <col min="14" max="14" width="18" customWidth="1"/>
    <col min="15" max="15" width="22.7109375" customWidth="1"/>
    <col min="16" max="16" width="26.42578125" customWidth="1"/>
    <col min="17" max="17" width="28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105</v>
      </c>
      <c r="J1" t="s">
        <v>106</v>
      </c>
      <c r="L1" s="10" t="s">
        <v>0</v>
      </c>
      <c r="M1" s="10" t="s">
        <v>1</v>
      </c>
      <c r="N1" s="10" t="s">
        <v>2</v>
      </c>
      <c r="O1" s="10" t="s">
        <v>3</v>
      </c>
      <c r="P1" s="10" t="s">
        <v>4</v>
      </c>
      <c r="Q1" s="10" t="s">
        <v>5</v>
      </c>
    </row>
    <row r="2" spans="1:17" x14ac:dyDescent="0.25">
      <c r="A2" s="3" t="s">
        <v>89</v>
      </c>
      <c r="B2">
        <v>430640</v>
      </c>
      <c r="C2" s="1">
        <v>4998921</v>
      </c>
      <c r="D2" s="1">
        <v>86397461.790000007</v>
      </c>
      <c r="E2" s="2">
        <f>C2/D2*100</f>
        <v>5.7859581710288106</v>
      </c>
      <c r="F2" s="1">
        <f>C2/B2</f>
        <v>11.608120471855843</v>
      </c>
      <c r="H2">
        <f>AVERAGE(Table1[bacardi_market_share_pct])</f>
        <v>4.4281812044640505</v>
      </c>
      <c r="J2">
        <f>AVERAGE(Table1[bacardi_revenue_per_capita])</f>
        <v>4.1655035042201991</v>
      </c>
      <c r="L2" s="7" t="s">
        <v>76</v>
      </c>
      <c r="M2" s="7">
        <v>33309</v>
      </c>
      <c r="N2" s="8">
        <v>139313.35999999999</v>
      </c>
      <c r="O2" s="8">
        <v>2779364.89</v>
      </c>
      <c r="P2" s="9">
        <f>N2/O2*100</f>
        <v>5.0124170633816991</v>
      </c>
      <c r="Q2" s="8">
        <f>N2/M2</f>
        <v>4.1824539914137313</v>
      </c>
    </row>
    <row r="3" spans="1:17" x14ac:dyDescent="0.25">
      <c r="A3" s="3" t="s">
        <v>95</v>
      </c>
      <c r="B3">
        <v>165224</v>
      </c>
      <c r="C3" s="1">
        <v>1741874.47</v>
      </c>
      <c r="D3" s="1">
        <v>27902848.670000002</v>
      </c>
      <c r="E3" s="2">
        <f>C3/D3*100</f>
        <v>6.2426402787783886</v>
      </c>
      <c r="F3" s="1">
        <f>C3/B3</f>
        <v>10.542502723575268</v>
      </c>
      <c r="L3" s="7" t="s">
        <v>43</v>
      </c>
      <c r="M3" s="7">
        <v>12534</v>
      </c>
      <c r="N3" s="8">
        <v>52390.8</v>
      </c>
      <c r="O3" s="8">
        <v>1337091.6299999999</v>
      </c>
      <c r="P3" s="9">
        <f>N3/O3*100</f>
        <v>3.9182654968829631</v>
      </c>
      <c r="Q3" s="8">
        <f>N3/M3</f>
        <v>4.1798946864528483</v>
      </c>
    </row>
    <row r="4" spans="1:17" x14ac:dyDescent="0.25">
      <c r="A4" s="3" t="s">
        <v>70</v>
      </c>
      <c r="B4">
        <v>211226</v>
      </c>
      <c r="C4" s="1">
        <v>1692016.44</v>
      </c>
      <c r="D4" s="1">
        <v>34460047.490000002</v>
      </c>
      <c r="E4" s="2">
        <f>C4/D4*100</f>
        <v>4.9100815676211944</v>
      </c>
      <c r="F4" s="1">
        <f>C4/B4</f>
        <v>8.0104553416719533</v>
      </c>
      <c r="L4" s="7" t="s">
        <v>36</v>
      </c>
      <c r="M4" s="7">
        <v>13956</v>
      </c>
      <c r="N4" s="8">
        <v>57464.92</v>
      </c>
      <c r="O4" s="8">
        <v>1527535.95</v>
      </c>
      <c r="P4" s="9">
        <f>N4/O4*100</f>
        <v>3.7619356847215282</v>
      </c>
      <c r="Q4" s="8">
        <f>N4/M4</f>
        <v>4.1175781026081975</v>
      </c>
    </row>
    <row r="5" spans="1:17" x14ac:dyDescent="0.25">
      <c r="A5" s="3" t="s">
        <v>93</v>
      </c>
      <c r="B5">
        <v>130882</v>
      </c>
      <c r="C5" s="1">
        <v>1471673.94</v>
      </c>
      <c r="D5" s="1">
        <v>24200402.25</v>
      </c>
      <c r="E5" s="2">
        <f>C5/D5*100</f>
        <v>6.0811961916872681</v>
      </c>
      <c r="F5" s="1">
        <f>C5/B5</f>
        <v>11.244280649745573</v>
      </c>
      <c r="L5" s="7" t="s">
        <v>79</v>
      </c>
      <c r="M5" s="7">
        <v>20638</v>
      </c>
      <c r="N5" s="8">
        <v>83683.67</v>
      </c>
      <c r="O5" s="8">
        <v>1598830.32</v>
      </c>
      <c r="P5" s="9">
        <f>N5/O5*100</f>
        <v>5.2340557314424707</v>
      </c>
      <c r="Q5" s="8">
        <f>N5/M5</f>
        <v>4.0548342862680489</v>
      </c>
    </row>
    <row r="6" spans="1:17" x14ac:dyDescent="0.25">
      <c r="A6" s="3" t="s">
        <v>77</v>
      </c>
      <c r="B6">
        <v>131090</v>
      </c>
      <c r="C6" s="1">
        <v>1169665.99</v>
      </c>
      <c r="D6" s="1">
        <v>22967283.289999999</v>
      </c>
      <c r="E6" s="2">
        <f>C6/D6*100</f>
        <v>5.092748564255638</v>
      </c>
      <c r="F6" s="1">
        <f>C6/B6</f>
        <v>8.9226179723853836</v>
      </c>
      <c r="L6" s="7" t="s">
        <v>55</v>
      </c>
      <c r="M6" s="7">
        <v>26306</v>
      </c>
      <c r="N6" s="8">
        <v>103743.97</v>
      </c>
      <c r="O6" s="8">
        <v>2441399.88</v>
      </c>
      <c r="P6" s="9">
        <f>N6/O6*100</f>
        <v>4.2493640984368364</v>
      </c>
      <c r="Q6" s="8">
        <f>N6/M6</f>
        <v>3.9437379305101499</v>
      </c>
    </row>
    <row r="7" spans="1:17" x14ac:dyDescent="0.25">
      <c r="A7" t="s">
        <v>98</v>
      </c>
      <c r="B7">
        <v>93653</v>
      </c>
      <c r="C7" s="1">
        <v>807669.51</v>
      </c>
      <c r="D7" s="1">
        <v>11879190.380000001</v>
      </c>
      <c r="E7" s="2">
        <f>C7/D7*100</f>
        <v>6.7990282516206282</v>
      </c>
      <c r="F7" s="1">
        <f>C7/B7</f>
        <v>8.6240644720404038</v>
      </c>
      <c r="L7" s="7" t="s">
        <v>58</v>
      </c>
      <c r="M7" s="7">
        <v>24986</v>
      </c>
      <c r="N7" s="8">
        <v>98421.36</v>
      </c>
      <c r="O7" s="8">
        <v>2268583.98</v>
      </c>
      <c r="P7" s="9">
        <f>N7/O7*100</f>
        <v>4.3384490443241166</v>
      </c>
      <c r="Q7" s="8">
        <f>N7/M7</f>
        <v>3.9390602737533018</v>
      </c>
    </row>
    <row r="8" spans="1:17" x14ac:dyDescent="0.25">
      <c r="A8" t="s">
        <v>86</v>
      </c>
      <c r="B8">
        <v>93158</v>
      </c>
      <c r="C8" s="1">
        <v>795456.35</v>
      </c>
      <c r="D8" s="1">
        <v>14177698.300000001</v>
      </c>
      <c r="E8" s="2">
        <f>C8/D8*100</f>
        <v>5.6106169927455705</v>
      </c>
      <c r="F8" s="1">
        <f>C8/B8</f>
        <v>8.5387873290538661</v>
      </c>
      <c r="L8" s="7" t="s">
        <v>32</v>
      </c>
      <c r="M8" s="7">
        <v>18914</v>
      </c>
      <c r="N8" s="8">
        <v>74442.75</v>
      </c>
      <c r="O8" s="8">
        <v>2012519.27</v>
      </c>
      <c r="P8" s="9">
        <f>N8/O8*100</f>
        <v>3.6989832152017108</v>
      </c>
      <c r="Q8" s="8">
        <f>N8/M8</f>
        <v>3.9358543935708998</v>
      </c>
    </row>
    <row r="9" spans="1:17" x14ac:dyDescent="0.25">
      <c r="A9" t="s">
        <v>85</v>
      </c>
      <c r="B9">
        <v>102172</v>
      </c>
      <c r="C9" s="1">
        <v>741883.15</v>
      </c>
      <c r="D9" s="1">
        <v>13242016.16</v>
      </c>
      <c r="E9" s="2">
        <f>C9/D9*100</f>
        <v>5.602493918116469</v>
      </c>
      <c r="F9" s="1">
        <f>C9/B9</f>
        <v>7.2611199741612182</v>
      </c>
      <c r="L9" s="7" t="s">
        <v>46</v>
      </c>
      <c r="M9" s="7">
        <v>16303</v>
      </c>
      <c r="N9" s="8">
        <v>62743.6</v>
      </c>
      <c r="O9" s="8">
        <v>1571213.86</v>
      </c>
      <c r="P9" s="9">
        <f>N9/O9*100</f>
        <v>3.9933201709409563</v>
      </c>
      <c r="Q9" s="8">
        <f>N9/M9</f>
        <v>3.84859228362878</v>
      </c>
    </row>
    <row r="10" spans="1:17" x14ac:dyDescent="0.25">
      <c r="A10" t="s">
        <v>91</v>
      </c>
      <c r="B10">
        <v>89542</v>
      </c>
      <c r="C10" s="1">
        <v>712537.51</v>
      </c>
      <c r="D10" s="1">
        <v>12267027.18</v>
      </c>
      <c r="E10" s="2">
        <f>C10/D10*100</f>
        <v>5.8085589894323526</v>
      </c>
      <c r="F10" s="1">
        <f>C10/B10</f>
        <v>7.9575786781622035</v>
      </c>
      <c r="L10" s="7" t="s">
        <v>96</v>
      </c>
      <c r="M10" s="7">
        <v>33704</v>
      </c>
      <c r="N10" s="8">
        <v>129679.32</v>
      </c>
      <c r="O10" s="8">
        <v>2076294.71</v>
      </c>
      <c r="P10" s="9">
        <f>N10/O10*100</f>
        <v>6.2457087317821083</v>
      </c>
      <c r="Q10" s="8">
        <f>N10/M10</f>
        <v>3.8475943508188939</v>
      </c>
    </row>
    <row r="11" spans="1:17" x14ac:dyDescent="0.25">
      <c r="A11" t="s">
        <v>103</v>
      </c>
      <c r="B11">
        <v>66135</v>
      </c>
      <c r="C11" s="1">
        <v>623742.77</v>
      </c>
      <c r="D11" s="1">
        <v>7898228.4199999999</v>
      </c>
      <c r="E11" s="2">
        <f>C11/D11*100</f>
        <v>7.8972490643667665</v>
      </c>
      <c r="F11" s="1">
        <f>C11/B11</f>
        <v>9.4313566190368192</v>
      </c>
      <c r="L11" s="7" t="s">
        <v>60</v>
      </c>
      <c r="M11" s="7">
        <v>9243</v>
      </c>
      <c r="N11" s="8">
        <v>34907.31</v>
      </c>
      <c r="O11" s="8">
        <v>790327.5</v>
      </c>
      <c r="P11" s="9">
        <f>N11/O11*100</f>
        <v>4.416815813697486</v>
      </c>
      <c r="Q11" s="8">
        <f>N11/M11</f>
        <v>3.7766212268743913</v>
      </c>
    </row>
    <row r="12" spans="1:17" x14ac:dyDescent="0.25">
      <c r="A12" t="s">
        <v>82</v>
      </c>
      <c r="B12">
        <v>44151</v>
      </c>
      <c r="C12" s="1">
        <v>424916.52</v>
      </c>
      <c r="D12" s="1">
        <v>7998958.9199999999</v>
      </c>
      <c r="E12" s="2">
        <f>C12/D12*100</f>
        <v>5.3121477963534787</v>
      </c>
      <c r="F12" s="1">
        <f>C12/B12</f>
        <v>9.6241652510701918</v>
      </c>
      <c r="L12" s="7" t="s">
        <v>104</v>
      </c>
      <c r="M12" s="7">
        <v>7598</v>
      </c>
      <c r="N12" s="8">
        <v>27787.5</v>
      </c>
      <c r="O12" s="8">
        <v>339968.23</v>
      </c>
      <c r="P12" s="9">
        <f>N12/O12*100</f>
        <v>8.1735578645098705</v>
      </c>
      <c r="Q12" s="8">
        <f>N12/M12</f>
        <v>3.6572124243221902</v>
      </c>
    </row>
    <row r="13" spans="1:17" x14ac:dyDescent="0.25">
      <c r="A13" t="s">
        <v>99</v>
      </c>
      <c r="B13">
        <v>16667</v>
      </c>
      <c r="C13" s="1">
        <v>355642.88</v>
      </c>
      <c r="D13" s="1">
        <v>5142111.9000000004</v>
      </c>
      <c r="E13" s="2">
        <f>C13/D13*100</f>
        <v>6.9162804488949376</v>
      </c>
      <c r="F13" s="1">
        <f>C13/B13</f>
        <v>21.338146037079259</v>
      </c>
      <c r="L13" s="7" t="s">
        <v>30</v>
      </c>
      <c r="M13" s="7">
        <v>15932</v>
      </c>
      <c r="N13" s="8">
        <v>57715.61</v>
      </c>
      <c r="O13" s="8">
        <v>1618152.03</v>
      </c>
      <c r="P13" s="9">
        <f>N13/O13*100</f>
        <v>3.5667606584530871</v>
      </c>
      <c r="Q13" s="8">
        <f>N13/M13</f>
        <v>3.6226217675119257</v>
      </c>
    </row>
    <row r="14" spans="1:17" x14ac:dyDescent="0.25">
      <c r="A14" t="s">
        <v>84</v>
      </c>
      <c r="B14">
        <v>40325</v>
      </c>
      <c r="C14" s="1">
        <v>284021.71999999997</v>
      </c>
      <c r="D14" s="1">
        <v>5168751.09</v>
      </c>
      <c r="E14" s="2">
        <f>C14/D14*100</f>
        <v>5.4949777045657653</v>
      </c>
      <c r="F14" s="1">
        <f>C14/B14</f>
        <v>7.0433160570365771</v>
      </c>
      <c r="L14" s="7" t="s">
        <v>35</v>
      </c>
      <c r="M14" s="7">
        <v>9815</v>
      </c>
      <c r="N14" s="8">
        <v>35280.74</v>
      </c>
      <c r="O14" s="8">
        <v>940960.97</v>
      </c>
      <c r="P14" s="9">
        <f>N14/O14*100</f>
        <v>3.74943713127655</v>
      </c>
      <c r="Q14" s="8">
        <f>N14/M14</f>
        <v>3.5945736118186447</v>
      </c>
    </row>
    <row r="15" spans="1:17" x14ac:dyDescent="0.25">
      <c r="A15" t="s">
        <v>90</v>
      </c>
      <c r="B15">
        <v>49116</v>
      </c>
      <c r="C15" s="1">
        <v>281625.43</v>
      </c>
      <c r="D15" s="1">
        <v>4851700.7300000004</v>
      </c>
      <c r="E15" s="2">
        <f>C15/D15*100</f>
        <v>5.8046743950754767</v>
      </c>
      <c r="F15" s="1">
        <f>C15/B15</f>
        <v>5.733883663164753</v>
      </c>
      <c r="L15" s="7" t="s">
        <v>63</v>
      </c>
      <c r="M15" s="7">
        <v>14330</v>
      </c>
      <c r="N15" s="8">
        <v>51494.400000000001</v>
      </c>
      <c r="O15" s="8">
        <v>1107480.6599999999</v>
      </c>
      <c r="P15" s="9">
        <f>N15/O15*100</f>
        <v>4.6496884198411204</v>
      </c>
      <c r="Q15" s="8">
        <f>N15/M15</f>
        <v>3.5934682484298675</v>
      </c>
    </row>
    <row r="16" spans="1:17" x14ac:dyDescent="0.25">
      <c r="A16" t="s">
        <v>94</v>
      </c>
      <c r="B16">
        <v>42745</v>
      </c>
      <c r="C16" s="1">
        <v>273652.39</v>
      </c>
      <c r="D16" s="1">
        <v>4387996.29</v>
      </c>
      <c r="E16" s="2">
        <f>C16/D16*100</f>
        <v>6.2363860840912428</v>
      </c>
      <c r="F16" s="1">
        <f>C16/B16</f>
        <v>6.4019742659960235</v>
      </c>
      <c r="L16" s="7" t="s">
        <v>74</v>
      </c>
      <c r="M16" s="7">
        <v>10350</v>
      </c>
      <c r="N16" s="8">
        <v>37155.68</v>
      </c>
      <c r="O16" s="8">
        <v>746083.11</v>
      </c>
      <c r="P16" s="9">
        <f>N16/O16*100</f>
        <v>4.9800993350459306</v>
      </c>
      <c r="Q16" s="8">
        <f>N16/M16</f>
        <v>3.5899207729468601</v>
      </c>
    </row>
    <row r="17" spans="1:17" x14ac:dyDescent="0.25">
      <c r="A17" t="s">
        <v>75</v>
      </c>
      <c r="B17">
        <v>35862</v>
      </c>
      <c r="C17" s="1">
        <v>244011.46</v>
      </c>
      <c r="D17" s="1">
        <v>4881120.76</v>
      </c>
      <c r="E17" s="2">
        <f>C17/D17*100</f>
        <v>4.9990867261395104</v>
      </c>
      <c r="F17" s="1">
        <f>C17/B17</f>
        <v>6.804178796497685</v>
      </c>
      <c r="L17" s="7" t="s">
        <v>59</v>
      </c>
      <c r="M17" s="7">
        <v>10302</v>
      </c>
      <c r="N17" s="8">
        <v>36939.01</v>
      </c>
      <c r="O17" s="8">
        <v>840077.29</v>
      </c>
      <c r="P17" s="9">
        <f>N17/O17*100</f>
        <v>4.3970966052421199</v>
      </c>
      <c r="Q17" s="8">
        <f>N17/M17</f>
        <v>3.5856154144826249</v>
      </c>
    </row>
    <row r="18" spans="1:17" x14ac:dyDescent="0.25">
      <c r="A18" t="s">
        <v>101</v>
      </c>
      <c r="B18">
        <v>20816</v>
      </c>
      <c r="C18" s="1">
        <v>237758.59</v>
      </c>
      <c r="D18" s="1">
        <v>3183557.2</v>
      </c>
      <c r="E18" s="2">
        <f>C18/D18*100</f>
        <v>7.4683310229198954</v>
      </c>
      <c r="F18" s="1">
        <f>C18/B18</f>
        <v>11.421915353574173</v>
      </c>
      <c r="L18" s="7" t="s">
        <v>53</v>
      </c>
      <c r="M18" s="7">
        <v>12884</v>
      </c>
      <c r="N18" s="8">
        <v>45914.71</v>
      </c>
      <c r="O18" s="8">
        <v>1089064.58</v>
      </c>
      <c r="P18" s="9">
        <f>N18/O18*100</f>
        <v>4.2159767972621056</v>
      </c>
      <c r="Q18" s="8">
        <f>N18/M18</f>
        <v>3.5636999379074821</v>
      </c>
    </row>
    <row r="19" spans="1:17" x14ac:dyDescent="0.25">
      <c r="A19" t="s">
        <v>81</v>
      </c>
      <c r="B19">
        <v>38013</v>
      </c>
      <c r="C19" s="1">
        <v>229378.44</v>
      </c>
      <c r="D19" s="1">
        <v>4323049.3</v>
      </c>
      <c r="E19" s="2">
        <f>C19/D19*100</f>
        <v>5.3059408783517688</v>
      </c>
      <c r="F19" s="1">
        <f>C19/B19</f>
        <v>6.03421040170468</v>
      </c>
      <c r="L19" s="7" t="s">
        <v>83</v>
      </c>
      <c r="M19" s="7">
        <v>10680</v>
      </c>
      <c r="N19" s="8">
        <v>37829.24</v>
      </c>
      <c r="O19" s="8">
        <v>702357.9</v>
      </c>
      <c r="P19" s="9">
        <f>N19/O19*100</f>
        <v>5.3860346697887209</v>
      </c>
      <c r="Q19" s="8">
        <f>N19/M19</f>
        <v>3.5420636704119848</v>
      </c>
    </row>
    <row r="20" spans="1:17" x14ac:dyDescent="0.25">
      <c r="A20" t="s">
        <v>52</v>
      </c>
      <c r="B20">
        <v>40648</v>
      </c>
      <c r="C20" s="1">
        <v>171773.87</v>
      </c>
      <c r="D20" s="1">
        <v>4092699.9</v>
      </c>
      <c r="E20" s="2">
        <f>C20/D20*100</f>
        <v>4.1970795366647824</v>
      </c>
      <c r="F20" s="1">
        <f>C20/B20</f>
        <v>4.2258873745325722</v>
      </c>
      <c r="L20" s="7" t="s">
        <v>66</v>
      </c>
      <c r="M20" s="7">
        <v>13229</v>
      </c>
      <c r="N20" s="8">
        <v>46853.14</v>
      </c>
      <c r="O20" s="8">
        <v>991451.14</v>
      </c>
      <c r="P20" s="9">
        <f>N20/O20*100</f>
        <v>4.7257134627935367</v>
      </c>
      <c r="Q20" s="8">
        <f>N20/M20</f>
        <v>3.5416992969990173</v>
      </c>
    </row>
    <row r="21" spans="1:17" x14ac:dyDescent="0.25">
      <c r="A21" t="s">
        <v>50</v>
      </c>
      <c r="B21">
        <v>35625</v>
      </c>
      <c r="C21" s="1">
        <v>150752.51</v>
      </c>
      <c r="D21" s="1">
        <v>3658972.86</v>
      </c>
      <c r="E21" s="2">
        <f>C21/D21*100</f>
        <v>4.1200772940414767</v>
      </c>
      <c r="F21" s="1">
        <f>C21/B21</f>
        <v>4.2316494035087722</v>
      </c>
      <c r="L21" s="7" t="s">
        <v>17</v>
      </c>
      <c r="M21" s="7">
        <v>14398</v>
      </c>
      <c r="N21" s="8">
        <v>49562.45</v>
      </c>
      <c r="O21" s="8">
        <v>1776809.53</v>
      </c>
      <c r="P21" s="9">
        <f>N21/O21*100</f>
        <v>2.7894070334032932</v>
      </c>
      <c r="Q21" s="8">
        <f>N21/M21</f>
        <v>3.4423149048478954</v>
      </c>
    </row>
    <row r="22" spans="1:17" x14ac:dyDescent="0.25">
      <c r="A22" s="4" t="s">
        <v>76</v>
      </c>
      <c r="B22" s="4">
        <v>33309</v>
      </c>
      <c r="C22" s="5">
        <v>139313.35999999999</v>
      </c>
      <c r="D22" s="5">
        <v>2779364.89</v>
      </c>
      <c r="E22" s="6">
        <f>C22/D22*100</f>
        <v>5.0124170633816991</v>
      </c>
      <c r="F22" s="5">
        <f>C22/B22</f>
        <v>4.1824539914137313</v>
      </c>
      <c r="L22" s="7" t="s">
        <v>47</v>
      </c>
      <c r="M22" s="7">
        <v>7089</v>
      </c>
      <c r="N22" s="8">
        <v>24214.49</v>
      </c>
      <c r="O22" s="8">
        <v>603641</v>
      </c>
      <c r="P22" s="9">
        <f>N22/O22*100</f>
        <v>4.0114057858892949</v>
      </c>
      <c r="Q22" s="8">
        <f>N22/M22</f>
        <v>3.4157836084073918</v>
      </c>
    </row>
    <row r="23" spans="1:17" x14ac:dyDescent="0.25">
      <c r="A23" s="4" t="s">
        <v>96</v>
      </c>
      <c r="B23" s="4">
        <v>33704</v>
      </c>
      <c r="C23" s="5">
        <v>129679.32</v>
      </c>
      <c r="D23" s="5">
        <v>2076294.71</v>
      </c>
      <c r="E23" s="6">
        <f>C23/D23*100</f>
        <v>6.2457087317821083</v>
      </c>
      <c r="F23" s="5">
        <f>C23/B23</f>
        <v>3.8475943508188939</v>
      </c>
      <c r="L23" s="7" t="s">
        <v>38</v>
      </c>
      <c r="M23" s="7">
        <v>11581</v>
      </c>
      <c r="N23" s="8">
        <v>39498.199999999997</v>
      </c>
      <c r="O23" s="8">
        <v>1024856.07</v>
      </c>
      <c r="P23" s="9">
        <f>N23/O23*100</f>
        <v>3.8540241070143635</v>
      </c>
      <c r="Q23" s="8">
        <f>N23/M23</f>
        <v>3.410603574820827</v>
      </c>
    </row>
    <row r="24" spans="1:17" x14ac:dyDescent="0.25">
      <c r="A24" t="s">
        <v>78</v>
      </c>
      <c r="B24">
        <v>20260</v>
      </c>
      <c r="C24" s="1">
        <v>126461.18</v>
      </c>
      <c r="D24" s="1">
        <v>2432925.21</v>
      </c>
      <c r="E24" s="2">
        <f>C24/D24*100</f>
        <v>5.1979065973836489</v>
      </c>
      <c r="F24" s="1">
        <f>C24/B24</f>
        <v>6.2419141164856855</v>
      </c>
      <c r="L24" s="7" t="s">
        <v>65</v>
      </c>
      <c r="M24" s="7">
        <v>17764</v>
      </c>
      <c r="N24" s="8">
        <v>59983.69</v>
      </c>
      <c r="O24" s="8">
        <v>1277554.19</v>
      </c>
      <c r="P24" s="9">
        <f>N24/O24*100</f>
        <v>4.6951973129218105</v>
      </c>
      <c r="Q24" s="8">
        <f>N24/M24</f>
        <v>3.3766995046160777</v>
      </c>
    </row>
    <row r="25" spans="1:17" x14ac:dyDescent="0.25">
      <c r="A25" t="s">
        <v>68</v>
      </c>
      <c r="B25">
        <v>17534</v>
      </c>
      <c r="C25" s="1">
        <v>124040.4</v>
      </c>
      <c r="D25" s="1">
        <v>2567270.44</v>
      </c>
      <c r="E25" s="2">
        <f>C25/D25*100</f>
        <v>4.8316062876492278</v>
      </c>
      <c r="F25" s="1">
        <f>C25/B25</f>
        <v>7.0742785445420324</v>
      </c>
      <c r="L25" s="7" t="s">
        <v>39</v>
      </c>
      <c r="M25" s="7">
        <v>19848</v>
      </c>
      <c r="N25" s="8">
        <v>66948.39</v>
      </c>
      <c r="O25" s="8">
        <v>1720246.48</v>
      </c>
      <c r="P25" s="9">
        <f>N25/O25*100</f>
        <v>3.8917905531770076</v>
      </c>
      <c r="Q25" s="8">
        <f>N25/M25</f>
        <v>3.3730547158403867</v>
      </c>
    </row>
    <row r="26" spans="1:17" x14ac:dyDescent="0.25">
      <c r="A26" t="s">
        <v>69</v>
      </c>
      <c r="B26">
        <v>24276</v>
      </c>
      <c r="C26" s="1">
        <v>121325.16</v>
      </c>
      <c r="D26" s="1">
        <v>2507674.79</v>
      </c>
      <c r="E26" s="2">
        <f>C26/D26*100</f>
        <v>4.8381536746238138</v>
      </c>
      <c r="F26" s="1">
        <f>C26/B26</f>
        <v>4.9977409787444387</v>
      </c>
      <c r="L26" s="7" t="s">
        <v>27</v>
      </c>
      <c r="M26" s="7">
        <v>20958</v>
      </c>
      <c r="N26" s="8">
        <v>63235.22</v>
      </c>
      <c r="O26" s="8">
        <v>1949162.4</v>
      </c>
      <c r="P26" s="9">
        <f>N26/O26*100</f>
        <v>3.2442253144222359</v>
      </c>
      <c r="Q26" s="8">
        <f>N26/M26</f>
        <v>3.0172354232274072</v>
      </c>
    </row>
    <row r="27" spans="1:17" x14ac:dyDescent="0.25">
      <c r="A27" s="4" t="s">
        <v>34</v>
      </c>
      <c r="B27" s="4">
        <v>46225</v>
      </c>
      <c r="C27" s="5">
        <v>113032.02</v>
      </c>
      <c r="D27" s="5">
        <v>3028648.21</v>
      </c>
      <c r="E27" s="6">
        <f>C27/D27*100</f>
        <v>3.732094722219323</v>
      </c>
      <c r="F27" s="5">
        <f>C27/B27</f>
        <v>2.4452573282855599</v>
      </c>
      <c r="L27" s="7" t="s">
        <v>40</v>
      </c>
      <c r="M27" s="7">
        <v>20145</v>
      </c>
      <c r="N27" s="8">
        <v>60484.77</v>
      </c>
      <c r="O27" s="8">
        <v>1550328.8</v>
      </c>
      <c r="P27" s="9">
        <f>N27/O27*100</f>
        <v>3.9014156222860592</v>
      </c>
      <c r="Q27" s="8">
        <f>N27/M27</f>
        <v>3.002470588235294</v>
      </c>
    </row>
    <row r="28" spans="1:17" x14ac:dyDescent="0.25">
      <c r="A28" t="s">
        <v>88</v>
      </c>
      <c r="B28">
        <v>21056</v>
      </c>
      <c r="C28" s="1">
        <v>110873.07</v>
      </c>
      <c r="D28" s="1">
        <v>1956732.65</v>
      </c>
      <c r="E28" s="2">
        <f>C28/D28*100</f>
        <v>5.6662349861643087</v>
      </c>
      <c r="F28" s="1">
        <f>C28/B28</f>
        <v>5.2656283244680857</v>
      </c>
      <c r="L28" s="7" t="s">
        <v>102</v>
      </c>
      <c r="M28" s="7">
        <v>6119</v>
      </c>
      <c r="N28" s="8">
        <v>18226.759999999998</v>
      </c>
      <c r="O28" s="8">
        <v>241821.88</v>
      </c>
      <c r="P28" s="9">
        <f>N28/O28*100</f>
        <v>7.5372666857109856</v>
      </c>
      <c r="Q28" s="8">
        <f>N28/M28</f>
        <v>2.9787154763850299</v>
      </c>
    </row>
    <row r="29" spans="1:17" x14ac:dyDescent="0.25">
      <c r="A29" t="s">
        <v>57</v>
      </c>
      <c r="B29">
        <v>15543</v>
      </c>
      <c r="C29" s="1">
        <v>109020.44</v>
      </c>
      <c r="D29" s="1">
        <v>2522531.13</v>
      </c>
      <c r="E29" s="2">
        <f>C29/D29*100</f>
        <v>4.3218669812808219</v>
      </c>
      <c r="F29" s="1">
        <f>C29/B29</f>
        <v>7.01411825258959</v>
      </c>
      <c r="L29" s="7" t="s">
        <v>33</v>
      </c>
      <c r="M29" s="7">
        <v>20880</v>
      </c>
      <c r="N29" s="8">
        <v>61733.24</v>
      </c>
      <c r="O29" s="8">
        <v>1668008.23</v>
      </c>
      <c r="P29" s="9">
        <f>N29/O29*100</f>
        <v>3.7010153121366796</v>
      </c>
      <c r="Q29" s="8">
        <f>N29/M29</f>
        <v>2.9565727969348656</v>
      </c>
    </row>
    <row r="30" spans="1:17" x14ac:dyDescent="0.25">
      <c r="A30" s="4" t="s">
        <v>55</v>
      </c>
      <c r="B30" s="4">
        <v>26306</v>
      </c>
      <c r="C30" s="5">
        <v>103743.97</v>
      </c>
      <c r="D30" s="5">
        <v>2441399.88</v>
      </c>
      <c r="E30" s="6">
        <f>C30/D30*100</f>
        <v>4.2493640984368364</v>
      </c>
      <c r="F30" s="5">
        <f>C30/B30</f>
        <v>3.9437379305101499</v>
      </c>
      <c r="L30" s="7" t="s">
        <v>71</v>
      </c>
      <c r="M30" s="7">
        <v>10776</v>
      </c>
      <c r="N30" s="8">
        <v>31717.83</v>
      </c>
      <c r="O30" s="8">
        <v>644715.72</v>
      </c>
      <c r="P30" s="9">
        <f>N30/O30*100</f>
        <v>4.9196613353867038</v>
      </c>
      <c r="Q30" s="8">
        <f>N30/M30</f>
        <v>2.9433769487750556</v>
      </c>
    </row>
    <row r="31" spans="1:17" x14ac:dyDescent="0.25">
      <c r="A31" t="s">
        <v>73</v>
      </c>
      <c r="B31">
        <v>21704</v>
      </c>
      <c r="C31" s="1">
        <v>101337.46</v>
      </c>
      <c r="D31" s="1">
        <v>2047974.45</v>
      </c>
      <c r="E31" s="2">
        <f>C31/D31*100</f>
        <v>4.948179895506021</v>
      </c>
      <c r="F31" s="1">
        <f>C31/B31</f>
        <v>4.6690683744931816</v>
      </c>
      <c r="L31" s="7" t="s">
        <v>87</v>
      </c>
      <c r="M31" s="7">
        <v>9670</v>
      </c>
      <c r="N31" s="8">
        <v>27261.48</v>
      </c>
      <c r="O31" s="8">
        <v>482178.34</v>
      </c>
      <c r="P31" s="9">
        <f>N31/O31*100</f>
        <v>5.6538168014763999</v>
      </c>
      <c r="Q31" s="8">
        <f>N31/M31</f>
        <v>2.8191809720785934</v>
      </c>
    </row>
    <row r="32" spans="1:17" x14ac:dyDescent="0.25">
      <c r="A32" t="s">
        <v>62</v>
      </c>
      <c r="B32">
        <v>16355</v>
      </c>
      <c r="C32" s="1">
        <v>101092.47</v>
      </c>
      <c r="D32" s="1">
        <v>2226471.23</v>
      </c>
      <c r="E32" s="2">
        <f>C32/D32*100</f>
        <v>4.5404795102607274</v>
      </c>
      <c r="F32" s="1">
        <f>C32/B32</f>
        <v>6.1811354325894223</v>
      </c>
      <c r="L32" s="7" t="s">
        <v>23</v>
      </c>
      <c r="M32" s="7">
        <v>9286</v>
      </c>
      <c r="N32" s="8">
        <v>26126.79</v>
      </c>
      <c r="O32" s="8">
        <v>845731.43</v>
      </c>
      <c r="P32" s="9">
        <f>N32/O32*100</f>
        <v>3.0892537599081544</v>
      </c>
      <c r="Q32" s="8">
        <f>N32/M32</f>
        <v>2.8135677363773421</v>
      </c>
    </row>
    <row r="33" spans="1:17" x14ac:dyDescent="0.25">
      <c r="A33" s="4" t="s">
        <v>42</v>
      </c>
      <c r="B33" s="4">
        <v>36842</v>
      </c>
      <c r="C33" s="5">
        <v>99564.47</v>
      </c>
      <c r="D33" s="5">
        <v>2544580.83</v>
      </c>
      <c r="E33" s="6">
        <f>C33/D33*100</f>
        <v>3.9128043733631364</v>
      </c>
      <c r="F33" s="5">
        <f>C33/B33</f>
        <v>2.7024719070625918</v>
      </c>
      <c r="L33" s="7" t="s">
        <v>29</v>
      </c>
      <c r="M33" s="7">
        <v>7682</v>
      </c>
      <c r="N33" s="8">
        <v>21515.54</v>
      </c>
      <c r="O33" s="8">
        <v>603088.67000000004</v>
      </c>
      <c r="P33" s="9">
        <f>N33/O33*100</f>
        <v>3.5675583160930544</v>
      </c>
      <c r="Q33" s="8">
        <f>N33/M33</f>
        <v>2.8007732361364228</v>
      </c>
    </row>
    <row r="34" spans="1:17" x14ac:dyDescent="0.25">
      <c r="A34" s="4" t="s">
        <v>58</v>
      </c>
      <c r="B34" s="4">
        <v>24986</v>
      </c>
      <c r="C34" s="5">
        <v>98421.36</v>
      </c>
      <c r="D34" s="5">
        <v>2268583.98</v>
      </c>
      <c r="E34" s="6">
        <f>C34/D34*100</f>
        <v>4.3384490443241166</v>
      </c>
      <c r="F34" s="5">
        <f>C34/B34</f>
        <v>3.9390602737533018</v>
      </c>
      <c r="L34" s="7" t="s">
        <v>61</v>
      </c>
      <c r="M34" s="7">
        <v>22381</v>
      </c>
      <c r="N34" s="8">
        <v>62480.56</v>
      </c>
      <c r="O34" s="8">
        <v>1378251.77</v>
      </c>
      <c r="P34" s="9">
        <f>N34/O34*100</f>
        <v>4.5333197721922751</v>
      </c>
      <c r="Q34" s="8">
        <f>N34/M34</f>
        <v>2.7916786560028592</v>
      </c>
    </row>
    <row r="35" spans="1:17" x14ac:dyDescent="0.25">
      <c r="A35" t="s">
        <v>56</v>
      </c>
      <c r="B35">
        <v>16667</v>
      </c>
      <c r="C35" s="1">
        <v>91847.67</v>
      </c>
      <c r="D35" s="1">
        <v>2140888</v>
      </c>
      <c r="E35" s="2">
        <f>C35/D35*100</f>
        <v>4.2901669774411362</v>
      </c>
      <c r="F35" s="1">
        <f>C35/B35</f>
        <v>5.5107499850002997</v>
      </c>
      <c r="L35" s="7" t="s">
        <v>49</v>
      </c>
      <c r="M35" s="7">
        <v>16843</v>
      </c>
      <c r="N35" s="8">
        <v>46136.17</v>
      </c>
      <c r="O35" s="8">
        <v>1120768.6100000001</v>
      </c>
      <c r="P35" s="9">
        <f>N35/O35*100</f>
        <v>4.1164759244997056</v>
      </c>
      <c r="Q35" s="8">
        <f>N35/M35</f>
        <v>2.739189574303865</v>
      </c>
    </row>
    <row r="36" spans="1:17" x14ac:dyDescent="0.25">
      <c r="A36" s="4" t="s">
        <v>79</v>
      </c>
      <c r="B36" s="4">
        <v>20638</v>
      </c>
      <c r="C36" s="5">
        <v>83683.67</v>
      </c>
      <c r="D36" s="5">
        <v>1598830.32</v>
      </c>
      <c r="E36" s="6">
        <f>C36/D36*100</f>
        <v>5.2340557314424707</v>
      </c>
      <c r="F36" s="5">
        <f>C36/B36</f>
        <v>4.0548342862680489</v>
      </c>
      <c r="L36" s="7" t="s">
        <v>42</v>
      </c>
      <c r="M36" s="7">
        <v>36842</v>
      </c>
      <c r="N36" s="8">
        <v>99564.47</v>
      </c>
      <c r="O36" s="8">
        <v>2544580.83</v>
      </c>
      <c r="P36" s="9">
        <f>N36/O36*100</f>
        <v>3.9128043733631364</v>
      </c>
      <c r="Q36" s="8">
        <f>N36/M36</f>
        <v>2.7024719070625918</v>
      </c>
    </row>
    <row r="37" spans="1:17" x14ac:dyDescent="0.25">
      <c r="A37" t="s">
        <v>41</v>
      </c>
      <c r="B37">
        <v>17096</v>
      </c>
      <c r="C37" s="1">
        <v>76806.28</v>
      </c>
      <c r="D37" s="1">
        <v>1971876.55</v>
      </c>
      <c r="E37" s="2">
        <f>C37/D37*100</f>
        <v>3.8950856228803974</v>
      </c>
      <c r="F37" s="1">
        <f>C37/B37</f>
        <v>4.4926462330369681</v>
      </c>
      <c r="L37" s="7" t="s">
        <v>64</v>
      </c>
      <c r="M37" s="7">
        <v>18129</v>
      </c>
      <c r="N37" s="8">
        <v>46359.44</v>
      </c>
      <c r="O37" s="8">
        <v>994568.53</v>
      </c>
      <c r="P37" s="9">
        <f>N37/O37*100</f>
        <v>4.6612615020103245</v>
      </c>
      <c r="Q37" s="8">
        <f>N37/M37</f>
        <v>2.557197859782669</v>
      </c>
    </row>
    <row r="38" spans="1:17" x14ac:dyDescent="0.25">
      <c r="A38" s="4" t="s">
        <v>32</v>
      </c>
      <c r="B38" s="4">
        <v>18914</v>
      </c>
      <c r="C38" s="5">
        <v>74442.75</v>
      </c>
      <c r="D38" s="5">
        <v>2012519.27</v>
      </c>
      <c r="E38" s="6">
        <f>C38/D38*100</f>
        <v>3.6989832152017108</v>
      </c>
      <c r="F38" s="5">
        <f>C38/B38</f>
        <v>3.9358543935708998</v>
      </c>
      <c r="L38" s="7" t="s">
        <v>25</v>
      </c>
      <c r="M38" s="7">
        <v>15673</v>
      </c>
      <c r="N38" s="8">
        <v>40060.33</v>
      </c>
      <c r="O38" s="8">
        <v>1244371.58</v>
      </c>
      <c r="P38" s="9">
        <f>N38/O38*100</f>
        <v>3.2193221577754132</v>
      </c>
      <c r="Q38" s="8">
        <f>N38/M38</f>
        <v>2.5560090601671668</v>
      </c>
    </row>
    <row r="39" spans="1:17" x14ac:dyDescent="0.25">
      <c r="A39" t="s">
        <v>92</v>
      </c>
      <c r="B39">
        <v>12167</v>
      </c>
      <c r="C39" s="1">
        <v>68370.03</v>
      </c>
      <c r="D39" s="1">
        <v>1163855.3500000001</v>
      </c>
      <c r="E39" s="2">
        <f>C39/D39*100</f>
        <v>5.8744439332602623</v>
      </c>
      <c r="F39" s="1">
        <f>C39/B39</f>
        <v>5.6193005671077501</v>
      </c>
      <c r="L39" s="7" t="s">
        <v>34</v>
      </c>
      <c r="M39" s="7">
        <v>46225</v>
      </c>
      <c r="N39" s="8">
        <v>113032.02</v>
      </c>
      <c r="O39" s="8">
        <v>3028648.21</v>
      </c>
      <c r="P39" s="9">
        <f>N39/O39*100</f>
        <v>3.732094722219323</v>
      </c>
      <c r="Q39" s="8">
        <f>N39/M39</f>
        <v>2.4452573282855599</v>
      </c>
    </row>
    <row r="40" spans="1:17" x14ac:dyDescent="0.25">
      <c r="A40" s="4" t="s">
        <v>39</v>
      </c>
      <c r="B40" s="4">
        <v>19848</v>
      </c>
      <c r="C40" s="5">
        <v>66948.39</v>
      </c>
      <c r="D40" s="5">
        <v>1720246.48</v>
      </c>
      <c r="E40" s="6">
        <f>C40/D40*100</f>
        <v>3.8917905531770076</v>
      </c>
      <c r="F40" s="5">
        <f>C40/B40</f>
        <v>3.3730547158403867</v>
      </c>
      <c r="L40" s="7" t="s">
        <v>51</v>
      </c>
      <c r="M40" s="7">
        <v>9336</v>
      </c>
      <c r="N40" s="8">
        <v>22717.33</v>
      </c>
      <c r="O40" s="8">
        <v>548905.25</v>
      </c>
      <c r="P40" s="9">
        <f>N40/O40*100</f>
        <v>4.1386614538665834</v>
      </c>
      <c r="Q40" s="8">
        <f>N40/M40</f>
        <v>2.43330441302485</v>
      </c>
    </row>
    <row r="41" spans="1:17" x14ac:dyDescent="0.25">
      <c r="A41" t="s">
        <v>97</v>
      </c>
      <c r="B41">
        <v>10866</v>
      </c>
      <c r="C41" s="1">
        <v>65038.49</v>
      </c>
      <c r="D41" s="1">
        <v>1024059.83</v>
      </c>
      <c r="E41" s="2">
        <f>C41/D41*100</f>
        <v>6.3510439619528878</v>
      </c>
      <c r="F41" s="1">
        <f>C41/B41</f>
        <v>5.985504325418737</v>
      </c>
      <c r="L41" s="7" t="s">
        <v>21</v>
      </c>
      <c r="M41" s="7">
        <v>10740</v>
      </c>
      <c r="N41" s="8">
        <v>25670.92</v>
      </c>
      <c r="O41" s="8">
        <v>839109.2</v>
      </c>
      <c r="P41" s="9">
        <f>N41/O41*100</f>
        <v>3.0593062261741379</v>
      </c>
      <c r="Q41" s="8">
        <f>N41/M41</f>
        <v>2.3902160148975788</v>
      </c>
    </row>
    <row r="42" spans="1:17" x14ac:dyDescent="0.25">
      <c r="A42" s="4" t="s">
        <v>27</v>
      </c>
      <c r="B42" s="4">
        <v>20958</v>
      </c>
      <c r="C42" s="5">
        <v>63235.22</v>
      </c>
      <c r="D42" s="5">
        <v>1949162.4</v>
      </c>
      <c r="E42" s="6">
        <f>C42/D42*100</f>
        <v>3.2442253144222359</v>
      </c>
      <c r="F42" s="5">
        <f>C42/B42</f>
        <v>3.0172354232274072</v>
      </c>
      <c r="L42" s="7" t="s">
        <v>18</v>
      </c>
      <c r="M42" s="7">
        <v>12072</v>
      </c>
      <c r="N42" s="8">
        <v>28436.58</v>
      </c>
      <c r="O42" s="8">
        <v>981007.93</v>
      </c>
      <c r="P42" s="9">
        <f>N42/O42*100</f>
        <v>2.898710512972102</v>
      </c>
      <c r="Q42" s="8">
        <f>N42/M42</f>
        <v>2.3555815109343938</v>
      </c>
    </row>
    <row r="43" spans="1:17" x14ac:dyDescent="0.25">
      <c r="A43" s="4" t="s">
        <v>46</v>
      </c>
      <c r="B43" s="4">
        <v>16303</v>
      </c>
      <c r="C43" s="5">
        <v>62743.6</v>
      </c>
      <c r="D43" s="5">
        <v>1571213.86</v>
      </c>
      <c r="E43" s="6">
        <f>C43/D43*100</f>
        <v>3.9933201709409563</v>
      </c>
      <c r="F43" s="5">
        <f>C43/B43</f>
        <v>3.84859228362878</v>
      </c>
      <c r="L43" s="7" t="s">
        <v>80</v>
      </c>
      <c r="M43" s="7">
        <v>15059</v>
      </c>
      <c r="N43" s="8">
        <v>32333.08</v>
      </c>
      <c r="O43" s="8">
        <v>617724.37</v>
      </c>
      <c r="P43" s="9">
        <f>N43/O43*100</f>
        <v>5.23422444868089</v>
      </c>
      <c r="Q43" s="8">
        <f>N43/M43</f>
        <v>2.147093432498838</v>
      </c>
    </row>
    <row r="44" spans="1:17" x14ac:dyDescent="0.25">
      <c r="A44" s="4" t="s">
        <v>61</v>
      </c>
      <c r="B44" s="4">
        <v>22381</v>
      </c>
      <c r="C44" s="5">
        <v>62480.56</v>
      </c>
      <c r="D44" s="5">
        <v>1378251.77</v>
      </c>
      <c r="E44" s="6">
        <f>C44/D44*100</f>
        <v>4.5333197721922751</v>
      </c>
      <c r="F44" s="5">
        <f>C44/B44</f>
        <v>2.7916786560028592</v>
      </c>
      <c r="L44" s="7" t="s">
        <v>45</v>
      </c>
      <c r="M44" s="7">
        <v>17767</v>
      </c>
      <c r="N44" s="8">
        <v>34468.89</v>
      </c>
      <c r="O44" s="8">
        <v>876011.17</v>
      </c>
      <c r="P44" s="9">
        <f>N44/O44*100</f>
        <v>3.9347546219073894</v>
      </c>
      <c r="Q44" s="8">
        <f>N44/M44</f>
        <v>1.9400512185512466</v>
      </c>
    </row>
    <row r="45" spans="1:17" x14ac:dyDescent="0.25">
      <c r="A45" s="4" t="s">
        <v>33</v>
      </c>
      <c r="B45" s="4">
        <v>20880</v>
      </c>
      <c r="C45" s="5">
        <v>61733.24</v>
      </c>
      <c r="D45" s="5">
        <v>1668008.23</v>
      </c>
      <c r="E45" s="6">
        <f>C45/D45*100</f>
        <v>3.7010153121366796</v>
      </c>
      <c r="F45" s="5">
        <f>C45/B45</f>
        <v>2.9565727969348656</v>
      </c>
      <c r="L45" s="7" t="s">
        <v>54</v>
      </c>
      <c r="M45" s="7">
        <v>14928</v>
      </c>
      <c r="N45" s="8">
        <v>27614.22</v>
      </c>
      <c r="O45" s="8">
        <v>651345.05000000005</v>
      </c>
      <c r="P45" s="9">
        <f>N45/O45*100</f>
        <v>4.2395685666145768</v>
      </c>
      <c r="Q45" s="8">
        <f>N45/M45</f>
        <v>1.8498271704180065</v>
      </c>
    </row>
    <row r="46" spans="1:17" x14ac:dyDescent="0.25">
      <c r="A46" s="4" t="s">
        <v>40</v>
      </c>
      <c r="B46" s="4">
        <v>20145</v>
      </c>
      <c r="C46" s="5">
        <v>60484.77</v>
      </c>
      <c r="D46" s="5">
        <v>1550328.8</v>
      </c>
      <c r="E46" s="6">
        <f>C46/D46*100</f>
        <v>3.9014156222860592</v>
      </c>
      <c r="F46" s="5">
        <f>C46/B46</f>
        <v>3.002470588235294</v>
      </c>
      <c r="L46" s="7" t="s">
        <v>15</v>
      </c>
      <c r="M46" s="7">
        <v>8898</v>
      </c>
      <c r="N46" s="8">
        <v>15618.24</v>
      </c>
      <c r="O46" s="8">
        <v>580658.38</v>
      </c>
      <c r="P46" s="9">
        <f>N46/O46*100</f>
        <v>2.6897467664205585</v>
      </c>
      <c r="Q46" s="8">
        <f>N46/M46</f>
        <v>1.7552528658125421</v>
      </c>
    </row>
    <row r="47" spans="1:17" x14ac:dyDescent="0.25">
      <c r="A47" s="4" t="s">
        <v>65</v>
      </c>
      <c r="B47" s="4">
        <v>17764</v>
      </c>
      <c r="C47" s="5">
        <v>59983.69</v>
      </c>
      <c r="D47" s="5">
        <v>1277554.19</v>
      </c>
      <c r="E47" s="6">
        <f>C47/D47*100</f>
        <v>4.6951973129218105</v>
      </c>
      <c r="F47" s="5">
        <f>C47/B47</f>
        <v>3.3766995046160777</v>
      </c>
      <c r="L47" s="7" t="s">
        <v>72</v>
      </c>
      <c r="M47" s="7">
        <v>11341</v>
      </c>
      <c r="N47" s="8">
        <v>19724.16</v>
      </c>
      <c r="O47" s="8">
        <v>399807.53</v>
      </c>
      <c r="P47" s="9">
        <f>N47/O47*100</f>
        <v>4.9334138354022494</v>
      </c>
      <c r="Q47" s="8">
        <f>N47/M47</f>
        <v>1.739190547570761</v>
      </c>
    </row>
    <row r="48" spans="1:17" x14ac:dyDescent="0.25">
      <c r="A48" s="4" t="s">
        <v>30</v>
      </c>
      <c r="B48" s="4">
        <v>15932</v>
      </c>
      <c r="C48" s="5">
        <v>57715.61</v>
      </c>
      <c r="D48" s="5">
        <v>1618152.03</v>
      </c>
      <c r="E48" s="6">
        <f>C48/D48*100</f>
        <v>3.5667606584530871</v>
      </c>
      <c r="F48" s="5">
        <f>C48/B48</f>
        <v>3.6226217675119257</v>
      </c>
      <c r="L48" s="7" t="s">
        <v>24</v>
      </c>
      <c r="M48" s="7">
        <v>6462</v>
      </c>
      <c r="N48" s="8">
        <v>11060.08</v>
      </c>
      <c r="O48" s="8">
        <v>344176.87</v>
      </c>
      <c r="P48" s="9">
        <f>N48/O48*100</f>
        <v>3.2134872979697908</v>
      </c>
      <c r="Q48" s="8">
        <f>N48/M48</f>
        <v>1.7115567935623646</v>
      </c>
    </row>
    <row r="49" spans="1:17" x14ac:dyDescent="0.25">
      <c r="A49" s="4" t="s">
        <v>36</v>
      </c>
      <c r="B49" s="4">
        <v>13956</v>
      </c>
      <c r="C49" s="5">
        <v>57464.92</v>
      </c>
      <c r="D49" s="5">
        <v>1527535.95</v>
      </c>
      <c r="E49" s="6">
        <f>C49/D49*100</f>
        <v>3.7619356847215282</v>
      </c>
      <c r="F49" s="5">
        <f>C49/B49</f>
        <v>4.1175781026081975</v>
      </c>
      <c r="L49" s="7" t="s">
        <v>22</v>
      </c>
      <c r="M49" s="7">
        <v>15679</v>
      </c>
      <c r="N49" s="8">
        <v>26196.1</v>
      </c>
      <c r="O49" s="8">
        <v>848829.42</v>
      </c>
      <c r="P49" s="9">
        <f>N49/O49*100</f>
        <v>3.0861442102230621</v>
      </c>
      <c r="Q49" s="8">
        <f>N49/M49</f>
        <v>1.6707761974615727</v>
      </c>
    </row>
    <row r="50" spans="1:17" x14ac:dyDescent="0.25">
      <c r="A50" s="4" t="s">
        <v>43</v>
      </c>
      <c r="B50" s="4">
        <v>12534</v>
      </c>
      <c r="C50" s="5">
        <v>52390.8</v>
      </c>
      <c r="D50" s="5">
        <v>1337091.6299999999</v>
      </c>
      <c r="E50" s="6">
        <f>C50/D50*100</f>
        <v>3.9182654968829631</v>
      </c>
      <c r="F50" s="5">
        <f>C50/B50</f>
        <v>4.1798946864528483</v>
      </c>
      <c r="L50" s="7" t="s">
        <v>28</v>
      </c>
      <c r="M50" s="7">
        <v>18499</v>
      </c>
      <c r="N50" s="8">
        <v>27141.01</v>
      </c>
      <c r="O50" s="8">
        <v>783200.87</v>
      </c>
      <c r="P50" s="9">
        <f>N50/O50*100</f>
        <v>3.4653957930358277</v>
      </c>
      <c r="Q50" s="8">
        <f>N50/M50</f>
        <v>1.4671609276177089</v>
      </c>
    </row>
    <row r="51" spans="1:17" x14ac:dyDescent="0.25">
      <c r="A51" s="4" t="s">
        <v>63</v>
      </c>
      <c r="B51" s="4">
        <v>14330</v>
      </c>
      <c r="C51" s="5">
        <v>51494.400000000001</v>
      </c>
      <c r="D51" s="5">
        <v>1107480.6599999999</v>
      </c>
      <c r="E51" s="6">
        <f>C51/D51*100</f>
        <v>4.6496884198411204</v>
      </c>
      <c r="F51" s="5">
        <f>C51/B51</f>
        <v>3.5934682484298675</v>
      </c>
      <c r="L51" s="7" t="s">
        <v>16</v>
      </c>
      <c r="M51" s="7">
        <v>7970</v>
      </c>
      <c r="N51" s="8">
        <v>11394.74</v>
      </c>
      <c r="O51" s="8">
        <v>417543.16</v>
      </c>
      <c r="P51" s="9">
        <f>N51/O51*100</f>
        <v>2.7289969257309834</v>
      </c>
      <c r="Q51" s="8">
        <f>N51/M51</f>
        <v>1.4297038895859473</v>
      </c>
    </row>
    <row r="52" spans="1:17" x14ac:dyDescent="0.25">
      <c r="A52" s="4" t="s">
        <v>17</v>
      </c>
      <c r="B52" s="4">
        <v>14398</v>
      </c>
      <c r="C52" s="5">
        <v>49562.45</v>
      </c>
      <c r="D52" s="5">
        <v>1776809.53</v>
      </c>
      <c r="E52" s="6">
        <f>C52/D52*100</f>
        <v>2.7894070334032932</v>
      </c>
      <c r="F52" s="5">
        <f>C52/B52</f>
        <v>3.4423149048478954</v>
      </c>
      <c r="L52" s="7" t="s">
        <v>8</v>
      </c>
      <c r="M52" s="7">
        <v>7310</v>
      </c>
      <c r="N52" s="8">
        <v>10341.44</v>
      </c>
      <c r="O52" s="8">
        <v>500771.13</v>
      </c>
      <c r="P52" s="9">
        <f>N52/O52*100</f>
        <v>2.065103074132888</v>
      </c>
      <c r="Q52" s="8">
        <f>N52/M52</f>
        <v>1.4146976744186046</v>
      </c>
    </row>
    <row r="53" spans="1:17" x14ac:dyDescent="0.25">
      <c r="A53" s="4" t="s">
        <v>66</v>
      </c>
      <c r="B53" s="4">
        <v>13229</v>
      </c>
      <c r="C53" s="5">
        <v>46853.14</v>
      </c>
      <c r="D53" s="5">
        <v>991451.14</v>
      </c>
      <c r="E53" s="6">
        <f>C53/D53*100</f>
        <v>4.7257134627935367</v>
      </c>
      <c r="F53" s="5">
        <f>C53/B53</f>
        <v>3.5416992969990173</v>
      </c>
      <c r="L53" s="7" t="s">
        <v>31</v>
      </c>
      <c r="M53" s="7">
        <v>26076</v>
      </c>
      <c r="N53" s="8">
        <v>35458.29</v>
      </c>
      <c r="O53" s="8">
        <v>994344.98</v>
      </c>
      <c r="P53" s="9">
        <f>N53/O53*100</f>
        <v>3.5659947717541653</v>
      </c>
      <c r="Q53" s="8">
        <f>N53/M53</f>
        <v>1.3598055683387023</v>
      </c>
    </row>
    <row r="54" spans="1:17" x14ac:dyDescent="0.25">
      <c r="A54" s="4" t="s">
        <v>64</v>
      </c>
      <c r="B54" s="4">
        <v>18129</v>
      </c>
      <c r="C54" s="5">
        <v>46359.44</v>
      </c>
      <c r="D54" s="5">
        <v>994568.53</v>
      </c>
      <c r="E54" s="6">
        <f>C54/D54*100</f>
        <v>4.6612615020103245</v>
      </c>
      <c r="F54" s="5">
        <f>C54/B54</f>
        <v>2.557197859782669</v>
      </c>
      <c r="L54" s="7" t="s">
        <v>19</v>
      </c>
      <c r="M54" s="7">
        <v>12439</v>
      </c>
      <c r="N54" s="8">
        <v>16101.61</v>
      </c>
      <c r="O54" s="8">
        <v>548956.25</v>
      </c>
      <c r="P54" s="9">
        <f>N54/O54*100</f>
        <v>2.9331317386403746</v>
      </c>
      <c r="Q54" s="8">
        <f>N54/M54</f>
        <v>1.2944456949915588</v>
      </c>
    </row>
    <row r="55" spans="1:17" x14ac:dyDescent="0.25">
      <c r="A55" s="4" t="s">
        <v>49</v>
      </c>
      <c r="B55" s="4">
        <v>16843</v>
      </c>
      <c r="C55" s="5">
        <v>46136.17</v>
      </c>
      <c r="D55" s="5">
        <v>1120768.6100000001</v>
      </c>
      <c r="E55" s="6">
        <f>C55/D55*100</f>
        <v>4.1164759244997056</v>
      </c>
      <c r="F55" s="5">
        <f>C55/B55</f>
        <v>2.739189574303865</v>
      </c>
      <c r="L55" s="7" t="s">
        <v>100</v>
      </c>
      <c r="M55" s="7">
        <v>6403</v>
      </c>
      <c r="N55" s="8">
        <v>7228.42</v>
      </c>
      <c r="O55" s="8">
        <v>98824.4</v>
      </c>
      <c r="P55" s="9">
        <f>N55/O55*100</f>
        <v>7.3144081825945824</v>
      </c>
      <c r="Q55" s="8">
        <f>N55/M55</f>
        <v>1.1289114477588631</v>
      </c>
    </row>
    <row r="56" spans="1:17" x14ac:dyDescent="0.25">
      <c r="A56" s="4" t="s">
        <v>53</v>
      </c>
      <c r="B56" s="4">
        <v>12884</v>
      </c>
      <c r="C56" s="5">
        <v>45914.71</v>
      </c>
      <c r="D56" s="5">
        <v>1089064.58</v>
      </c>
      <c r="E56" s="6">
        <f>C56/D56*100</f>
        <v>4.2159767972621056</v>
      </c>
      <c r="F56" s="5">
        <f>C56/B56</f>
        <v>3.5636999379074821</v>
      </c>
      <c r="L56" s="7" t="s">
        <v>37</v>
      </c>
      <c r="M56" s="7">
        <v>8457</v>
      </c>
      <c r="N56" s="8">
        <v>9401.85</v>
      </c>
      <c r="O56" s="8">
        <v>248492.15</v>
      </c>
      <c r="P56" s="9">
        <f>N56/O56*100</f>
        <v>3.7835601647778412</v>
      </c>
      <c r="Q56" s="8">
        <f>N56/M56</f>
        <v>1.1117240156083719</v>
      </c>
    </row>
    <row r="57" spans="1:17" x14ac:dyDescent="0.25">
      <c r="A57" t="s">
        <v>48</v>
      </c>
      <c r="B57">
        <v>9566</v>
      </c>
      <c r="C57" s="1">
        <v>44911.51</v>
      </c>
      <c r="D57" s="1">
        <v>1114317.54</v>
      </c>
      <c r="E57" s="2">
        <f>C57/D57*100</f>
        <v>4.0304050136373153</v>
      </c>
      <c r="F57" s="1">
        <f>C57/B57</f>
        <v>4.6949100982646881</v>
      </c>
      <c r="L57" s="7" t="s">
        <v>20</v>
      </c>
      <c r="M57" s="7">
        <v>12453</v>
      </c>
      <c r="N57" s="8">
        <v>12181.99</v>
      </c>
      <c r="O57" s="8">
        <v>405592.83</v>
      </c>
      <c r="P57" s="9">
        <f>N57/O57*100</f>
        <v>3.0035023055018009</v>
      </c>
      <c r="Q57" s="8">
        <f>N57/M57</f>
        <v>0.97823737252067777</v>
      </c>
    </row>
    <row r="58" spans="1:17" x14ac:dyDescent="0.25">
      <c r="A58" t="s">
        <v>67</v>
      </c>
      <c r="B58">
        <v>9421</v>
      </c>
      <c r="C58" s="1">
        <v>44902.11</v>
      </c>
      <c r="D58" s="1">
        <v>941404.65</v>
      </c>
      <c r="E58" s="2">
        <f>C58/D58*100</f>
        <v>4.7696928201916151</v>
      </c>
      <c r="F58" s="1">
        <f>C58/B58</f>
        <v>4.7661723808512901</v>
      </c>
      <c r="L58" s="7" t="s">
        <v>11</v>
      </c>
      <c r="M58" s="7">
        <v>5131</v>
      </c>
      <c r="N58" s="8">
        <v>4534.01</v>
      </c>
      <c r="O58" s="8">
        <v>198067.73</v>
      </c>
      <c r="P58" s="9">
        <f>N58/O58*100</f>
        <v>2.2891209991652857</v>
      </c>
      <c r="Q58" s="8">
        <f>N58/M58</f>
        <v>0.88365036055349844</v>
      </c>
    </row>
    <row r="59" spans="1:17" x14ac:dyDescent="0.25">
      <c r="A59" s="4" t="s">
        <v>25</v>
      </c>
      <c r="B59" s="4">
        <v>15673</v>
      </c>
      <c r="C59" s="5">
        <v>40060.33</v>
      </c>
      <c r="D59" s="5">
        <v>1244371.58</v>
      </c>
      <c r="E59" s="6">
        <f>C59/D59*100</f>
        <v>3.2193221577754132</v>
      </c>
      <c r="F59" s="5">
        <f>C59/B59</f>
        <v>2.5560090601671668</v>
      </c>
      <c r="L59" s="7" t="s">
        <v>26</v>
      </c>
      <c r="M59" s="7">
        <v>14867</v>
      </c>
      <c r="N59" s="8">
        <v>12890.83</v>
      </c>
      <c r="O59" s="8">
        <v>399080.61</v>
      </c>
      <c r="P59" s="9">
        <f>N59/O59*100</f>
        <v>3.2301318773668304</v>
      </c>
      <c r="Q59" s="8">
        <f>N59/M59</f>
        <v>0.86707674715813543</v>
      </c>
    </row>
    <row r="60" spans="1:17" x14ac:dyDescent="0.25">
      <c r="A60" s="4" t="s">
        <v>38</v>
      </c>
      <c r="B60" s="4">
        <v>11581</v>
      </c>
      <c r="C60" s="5">
        <v>39498.199999999997</v>
      </c>
      <c r="D60" s="5">
        <v>1024856.07</v>
      </c>
      <c r="E60" s="6">
        <f>C60/D60*100</f>
        <v>3.8540241070143635</v>
      </c>
      <c r="F60" s="5">
        <f>C60/B60</f>
        <v>3.410603574820827</v>
      </c>
      <c r="L60" s="7" t="s">
        <v>13</v>
      </c>
      <c r="M60" s="7">
        <v>11387</v>
      </c>
      <c r="N60" s="8">
        <v>9257.56</v>
      </c>
      <c r="O60" s="8">
        <v>351079.49</v>
      </c>
      <c r="P60" s="9">
        <f>N60/O60*100</f>
        <v>2.6368843135781015</v>
      </c>
      <c r="Q60" s="8">
        <f>N60/M60</f>
        <v>0.81299376481953101</v>
      </c>
    </row>
    <row r="61" spans="1:17" x14ac:dyDescent="0.25">
      <c r="A61" s="4" t="s">
        <v>83</v>
      </c>
      <c r="B61" s="4">
        <v>10680</v>
      </c>
      <c r="C61" s="5">
        <v>37829.24</v>
      </c>
      <c r="D61" s="5">
        <v>702357.9</v>
      </c>
      <c r="E61" s="6">
        <f>C61/D61*100</f>
        <v>5.3860346697887209</v>
      </c>
      <c r="F61" s="5">
        <f>C61/B61</f>
        <v>3.5420636704119848</v>
      </c>
      <c r="L61" s="7" t="s">
        <v>12</v>
      </c>
      <c r="M61" s="7">
        <v>7570</v>
      </c>
      <c r="N61" s="8">
        <v>6070.76</v>
      </c>
      <c r="O61" s="8">
        <v>260151.48</v>
      </c>
      <c r="P61" s="9">
        <f>N61/O61*100</f>
        <v>2.3335481312656765</v>
      </c>
      <c r="Q61" s="8">
        <f>N61/M61</f>
        <v>0.80194980184940556</v>
      </c>
    </row>
    <row r="62" spans="1:17" x14ac:dyDescent="0.25">
      <c r="A62" s="4" t="s">
        <v>74</v>
      </c>
      <c r="B62" s="4">
        <v>10350</v>
      </c>
      <c r="C62" s="5">
        <v>37155.68</v>
      </c>
      <c r="D62" s="5">
        <v>746083.11</v>
      </c>
      <c r="E62" s="6">
        <f>C62/D62*100</f>
        <v>4.9800993350459306</v>
      </c>
      <c r="F62" s="5">
        <f>C62/B62</f>
        <v>3.5899207729468601</v>
      </c>
      <c r="L62" s="7" t="s">
        <v>10</v>
      </c>
      <c r="M62" s="7">
        <v>10954</v>
      </c>
      <c r="N62" s="8">
        <v>8675.94</v>
      </c>
      <c r="O62" s="8">
        <v>382753.71</v>
      </c>
      <c r="P62" s="9">
        <f>N62/O62*100</f>
        <v>2.2667161083820715</v>
      </c>
      <c r="Q62" s="8">
        <f>N62/M62</f>
        <v>0.7920339601971883</v>
      </c>
    </row>
    <row r="63" spans="1:17" x14ac:dyDescent="0.25">
      <c r="A63" s="4" t="s">
        <v>59</v>
      </c>
      <c r="B63" s="4">
        <v>10302</v>
      </c>
      <c r="C63" s="5">
        <v>36939.01</v>
      </c>
      <c r="D63" s="5">
        <v>840077.29</v>
      </c>
      <c r="E63" s="6">
        <f>C63/D63*100</f>
        <v>4.3970966052421199</v>
      </c>
      <c r="F63" s="5">
        <f>C63/B63</f>
        <v>3.5856154144826249</v>
      </c>
      <c r="L63" s="7" t="s">
        <v>9</v>
      </c>
      <c r="M63" s="7">
        <v>4029</v>
      </c>
      <c r="N63" s="8">
        <v>2608.64</v>
      </c>
      <c r="O63" s="8">
        <v>125714.47</v>
      </c>
      <c r="P63" s="9">
        <f>N63/O63*100</f>
        <v>2.075051503617682</v>
      </c>
      <c r="Q63" s="8">
        <f>N63/M63</f>
        <v>0.64746587242491926</v>
      </c>
    </row>
    <row r="64" spans="1:17" x14ac:dyDescent="0.25">
      <c r="A64" s="4" t="s">
        <v>31</v>
      </c>
      <c r="B64" s="4">
        <v>26076</v>
      </c>
      <c r="C64" s="5">
        <v>35458.29</v>
      </c>
      <c r="D64" s="5">
        <v>994344.98</v>
      </c>
      <c r="E64" s="6">
        <f>C64/D64*100</f>
        <v>3.5659947717541653</v>
      </c>
      <c r="F64" s="5">
        <f>C64/B64</f>
        <v>1.3598055683387023</v>
      </c>
      <c r="L64" s="7" t="s">
        <v>44</v>
      </c>
      <c r="M64" s="7">
        <v>8753</v>
      </c>
      <c r="N64" s="8">
        <v>5526.74</v>
      </c>
      <c r="O64" s="8">
        <v>140947.39000000001</v>
      </c>
      <c r="P64" s="9">
        <f>N64/O64*100</f>
        <v>3.9211368156586648</v>
      </c>
      <c r="Q64" s="8">
        <f>N64/M64</f>
        <v>0.63141094481891924</v>
      </c>
    </row>
    <row r="65" spans="1:17" x14ac:dyDescent="0.25">
      <c r="A65" s="4" t="s">
        <v>35</v>
      </c>
      <c r="B65" s="4">
        <v>9815</v>
      </c>
      <c r="C65" s="5">
        <v>35280.74</v>
      </c>
      <c r="D65" s="5">
        <v>940960.97</v>
      </c>
      <c r="E65" s="6">
        <f>C65/D65*100</f>
        <v>3.74943713127655</v>
      </c>
      <c r="F65" s="5">
        <f>C65/B65</f>
        <v>3.5945736118186447</v>
      </c>
      <c r="L65" s="7" t="s">
        <v>14</v>
      </c>
      <c r="M65" s="7">
        <v>10511</v>
      </c>
      <c r="N65" s="8">
        <v>5639.28</v>
      </c>
      <c r="O65" s="8">
        <v>212602.13</v>
      </c>
      <c r="P65" s="9">
        <f>N65/O65*100</f>
        <v>2.6525039989016101</v>
      </c>
      <c r="Q65" s="8">
        <f>N65/M65</f>
        <v>0.53651222528779374</v>
      </c>
    </row>
    <row r="66" spans="1:17" x14ac:dyDescent="0.25">
      <c r="A66" s="4" t="s">
        <v>60</v>
      </c>
      <c r="B66" s="4">
        <v>9243</v>
      </c>
      <c r="C66" s="5">
        <v>34907.31</v>
      </c>
      <c r="D66" s="5">
        <v>790327.5</v>
      </c>
      <c r="E66" s="6">
        <f>C66/D66*100</f>
        <v>4.416815813697486</v>
      </c>
      <c r="F66" s="5">
        <f>C66/B66</f>
        <v>3.7766212268743913</v>
      </c>
      <c r="L66" s="7" t="s">
        <v>6</v>
      </c>
      <c r="M66" s="7">
        <v>6317</v>
      </c>
      <c r="N66" s="8">
        <v>2640.79</v>
      </c>
      <c r="O66" s="8">
        <v>150083.92000000001</v>
      </c>
      <c r="P66" s="9">
        <f>N66/O66*100</f>
        <v>1.7595422614228091</v>
      </c>
      <c r="Q66" s="8">
        <f>N66/M66</f>
        <v>0.41804495804970715</v>
      </c>
    </row>
    <row r="67" spans="1:17" x14ac:dyDescent="0.25">
      <c r="A67" s="4" t="s">
        <v>45</v>
      </c>
      <c r="B67" s="4">
        <v>17767</v>
      </c>
      <c r="C67" s="5">
        <v>34468.89</v>
      </c>
      <c r="D67" s="5">
        <v>876011.17</v>
      </c>
      <c r="E67" s="6">
        <f>C67/D67*100</f>
        <v>3.9347546219073894</v>
      </c>
      <c r="F67" s="5">
        <f>C67/B67</f>
        <v>1.9400512185512466</v>
      </c>
      <c r="L67" s="11" t="s">
        <v>7</v>
      </c>
      <c r="M67" s="11">
        <v>7441</v>
      </c>
      <c r="N67" s="12">
        <v>324</v>
      </c>
      <c r="O67" s="12">
        <v>16603.669999999998</v>
      </c>
      <c r="P67" s="13">
        <f>N67/O67*100</f>
        <v>1.9513758102877259</v>
      </c>
      <c r="Q67" s="12">
        <f>N67/M67</f>
        <v>4.3542534605563767E-2</v>
      </c>
    </row>
    <row r="68" spans="1:17" x14ac:dyDescent="0.25">
      <c r="A68" s="4" t="s">
        <v>80</v>
      </c>
      <c r="B68" s="4">
        <v>15059</v>
      </c>
      <c r="C68" s="5">
        <v>32333.08</v>
      </c>
      <c r="D68" s="5">
        <v>617724.37</v>
      </c>
      <c r="E68" s="6">
        <f>C68/D68*100</f>
        <v>5.23422444868089</v>
      </c>
      <c r="F68" s="5">
        <f>C68/B68</f>
        <v>2.147093432498838</v>
      </c>
    </row>
    <row r="69" spans="1:17" x14ac:dyDescent="0.25">
      <c r="A69" s="4" t="s">
        <v>71</v>
      </c>
      <c r="B69" s="4">
        <v>10776</v>
      </c>
      <c r="C69" s="5">
        <v>31717.83</v>
      </c>
      <c r="D69" s="5">
        <v>644715.72</v>
      </c>
      <c r="E69" s="6">
        <f>C69/D69*100</f>
        <v>4.9196613353867038</v>
      </c>
      <c r="F69" s="5">
        <f>C69/B69</f>
        <v>2.9433769487750556</v>
      </c>
    </row>
    <row r="70" spans="1:17" x14ac:dyDescent="0.25">
      <c r="A70" s="4" t="s">
        <v>18</v>
      </c>
      <c r="B70" s="4">
        <v>12072</v>
      </c>
      <c r="C70" s="5">
        <v>28436.58</v>
      </c>
      <c r="D70" s="5">
        <v>981007.93</v>
      </c>
      <c r="E70" s="6">
        <f>C70/D70*100</f>
        <v>2.898710512972102</v>
      </c>
      <c r="F70" s="5">
        <f>C70/B70</f>
        <v>2.3555815109343938</v>
      </c>
    </row>
    <row r="71" spans="1:17" x14ac:dyDescent="0.25">
      <c r="A71" s="4" t="s">
        <v>104</v>
      </c>
      <c r="B71" s="4">
        <v>7598</v>
      </c>
      <c r="C71" s="5">
        <v>27787.5</v>
      </c>
      <c r="D71" s="5">
        <v>339968.23</v>
      </c>
      <c r="E71" s="6">
        <f>C71/D71*100</f>
        <v>8.1735578645098705</v>
      </c>
      <c r="F71" s="5">
        <f>C71/B71</f>
        <v>3.6572124243221902</v>
      </c>
    </row>
    <row r="72" spans="1:17" x14ac:dyDescent="0.25">
      <c r="A72" s="4" t="s">
        <v>54</v>
      </c>
      <c r="B72" s="4">
        <v>14928</v>
      </c>
      <c r="C72" s="5">
        <v>27614.22</v>
      </c>
      <c r="D72" s="5">
        <v>651345.05000000005</v>
      </c>
      <c r="E72" s="6">
        <f>C72/D72*100</f>
        <v>4.2395685666145768</v>
      </c>
      <c r="F72" s="5">
        <f>C72/B72</f>
        <v>1.8498271704180065</v>
      </c>
    </row>
    <row r="73" spans="1:17" x14ac:dyDescent="0.25">
      <c r="A73" s="4" t="s">
        <v>87</v>
      </c>
      <c r="B73" s="4">
        <v>9670</v>
      </c>
      <c r="C73" s="5">
        <v>27261.48</v>
      </c>
      <c r="D73" s="5">
        <v>482178.34</v>
      </c>
      <c r="E73" s="6">
        <f>C73/D73*100</f>
        <v>5.6538168014763999</v>
      </c>
      <c r="F73" s="5">
        <f>C73/B73</f>
        <v>2.8191809720785934</v>
      </c>
    </row>
    <row r="74" spans="1:17" x14ac:dyDescent="0.25">
      <c r="A74" s="4" t="s">
        <v>28</v>
      </c>
      <c r="B74" s="4">
        <v>18499</v>
      </c>
      <c r="C74" s="5">
        <v>27141.01</v>
      </c>
      <c r="D74" s="5">
        <v>783200.87</v>
      </c>
      <c r="E74" s="6">
        <f>C74/D74*100</f>
        <v>3.4653957930358277</v>
      </c>
      <c r="F74" s="5">
        <f>C74/B74</f>
        <v>1.4671609276177089</v>
      </c>
    </row>
    <row r="75" spans="1:17" x14ac:dyDescent="0.25">
      <c r="A75" s="4" t="s">
        <v>22</v>
      </c>
      <c r="B75" s="4">
        <v>15679</v>
      </c>
      <c r="C75" s="5">
        <v>26196.1</v>
      </c>
      <c r="D75" s="5">
        <v>848829.42</v>
      </c>
      <c r="E75" s="6">
        <f>C75/D75*100</f>
        <v>3.0861442102230621</v>
      </c>
      <c r="F75" s="5">
        <f>C75/B75</f>
        <v>1.6707761974615727</v>
      </c>
    </row>
    <row r="76" spans="1:17" x14ac:dyDescent="0.25">
      <c r="A76" s="4" t="s">
        <v>23</v>
      </c>
      <c r="B76" s="4">
        <v>9286</v>
      </c>
      <c r="C76" s="5">
        <v>26126.79</v>
      </c>
      <c r="D76" s="5">
        <v>845731.43</v>
      </c>
      <c r="E76" s="6">
        <f>C76/D76*100</f>
        <v>3.0892537599081544</v>
      </c>
      <c r="F76" s="5">
        <f>C76/B76</f>
        <v>2.8135677363773421</v>
      </c>
    </row>
    <row r="77" spans="1:17" x14ac:dyDescent="0.25">
      <c r="A77" s="4" t="s">
        <v>21</v>
      </c>
      <c r="B77" s="4">
        <v>10740</v>
      </c>
      <c r="C77" s="5">
        <v>25670.92</v>
      </c>
      <c r="D77" s="5">
        <v>839109.2</v>
      </c>
      <c r="E77" s="6">
        <f>C77/D77*100</f>
        <v>3.0593062261741379</v>
      </c>
      <c r="F77" s="5">
        <f>C77/B77</f>
        <v>2.3902160148975788</v>
      </c>
    </row>
    <row r="78" spans="1:17" x14ac:dyDescent="0.25">
      <c r="A78" s="4" t="s">
        <v>47</v>
      </c>
      <c r="B78" s="4">
        <v>7089</v>
      </c>
      <c r="C78" s="5">
        <v>24214.49</v>
      </c>
      <c r="D78" s="5">
        <v>603641</v>
      </c>
      <c r="E78" s="6">
        <f>C78/D78*100</f>
        <v>4.0114057858892949</v>
      </c>
      <c r="F78" s="5">
        <f>C78/B78</f>
        <v>3.4157836084073918</v>
      </c>
    </row>
    <row r="79" spans="1:17" x14ac:dyDescent="0.25">
      <c r="A79" s="4" t="s">
        <v>51</v>
      </c>
      <c r="B79" s="4">
        <v>9336</v>
      </c>
      <c r="C79" s="5">
        <v>22717.33</v>
      </c>
      <c r="D79" s="5">
        <v>548905.25</v>
      </c>
      <c r="E79" s="6">
        <f>C79/D79*100</f>
        <v>4.1386614538665834</v>
      </c>
      <c r="F79" s="5">
        <f>C79/B79</f>
        <v>2.43330441302485</v>
      </c>
    </row>
    <row r="80" spans="1:17" x14ac:dyDescent="0.25">
      <c r="A80" s="4" t="s">
        <v>29</v>
      </c>
      <c r="B80" s="4">
        <v>7682</v>
      </c>
      <c r="C80" s="5">
        <v>21515.54</v>
      </c>
      <c r="D80" s="5">
        <v>603088.67000000004</v>
      </c>
      <c r="E80" s="6">
        <f>C80/D80*100</f>
        <v>3.5675583160930544</v>
      </c>
      <c r="F80" s="5">
        <f>C80/B80</f>
        <v>2.8007732361364228</v>
      </c>
    </row>
    <row r="81" spans="1:6" x14ac:dyDescent="0.25">
      <c r="A81" s="4" t="s">
        <v>72</v>
      </c>
      <c r="B81" s="4">
        <v>11341</v>
      </c>
      <c r="C81" s="5">
        <v>19724.16</v>
      </c>
      <c r="D81" s="5">
        <v>399807.53</v>
      </c>
      <c r="E81" s="6">
        <f>C81/D81*100</f>
        <v>4.9334138354022494</v>
      </c>
      <c r="F81" s="5">
        <f>C81/B81</f>
        <v>1.739190547570761</v>
      </c>
    </row>
    <row r="82" spans="1:6" x14ac:dyDescent="0.25">
      <c r="A82" s="4" t="s">
        <v>102</v>
      </c>
      <c r="B82" s="4">
        <v>6119</v>
      </c>
      <c r="C82" s="5">
        <v>18226.759999999998</v>
      </c>
      <c r="D82" s="5">
        <v>241821.88</v>
      </c>
      <c r="E82" s="6">
        <f>C82/D82*100</f>
        <v>7.5372666857109856</v>
      </c>
      <c r="F82" s="5">
        <f>C82/B82</f>
        <v>2.9787154763850299</v>
      </c>
    </row>
    <row r="83" spans="1:6" x14ac:dyDescent="0.25">
      <c r="A83" s="4" t="s">
        <v>19</v>
      </c>
      <c r="B83" s="4">
        <v>12439</v>
      </c>
      <c r="C83" s="5">
        <v>16101.61</v>
      </c>
      <c r="D83" s="5">
        <v>548956.25</v>
      </c>
      <c r="E83" s="6">
        <f>C83/D83*100</f>
        <v>2.9331317386403746</v>
      </c>
      <c r="F83" s="5">
        <f>C83/B83</f>
        <v>1.2944456949915588</v>
      </c>
    </row>
    <row r="84" spans="1:6" x14ac:dyDescent="0.25">
      <c r="A84" s="4" t="s">
        <v>15</v>
      </c>
      <c r="B84" s="4">
        <v>8898</v>
      </c>
      <c r="C84" s="5">
        <v>15618.24</v>
      </c>
      <c r="D84" s="5">
        <v>580658.38</v>
      </c>
      <c r="E84" s="6">
        <f>C84/D84*100</f>
        <v>2.6897467664205585</v>
      </c>
      <c r="F84" s="5">
        <f>C84/B84</f>
        <v>1.7552528658125421</v>
      </c>
    </row>
    <row r="85" spans="1:6" x14ac:dyDescent="0.25">
      <c r="A85" s="4" t="s">
        <v>26</v>
      </c>
      <c r="B85" s="4">
        <v>14867</v>
      </c>
      <c r="C85" s="5">
        <v>12890.83</v>
      </c>
      <c r="D85" s="5">
        <v>399080.61</v>
      </c>
      <c r="E85" s="6">
        <f>C85/D85*100</f>
        <v>3.2301318773668304</v>
      </c>
      <c r="F85" s="5">
        <f>C85/B85</f>
        <v>0.86707674715813543</v>
      </c>
    </row>
    <row r="86" spans="1:6" x14ac:dyDescent="0.25">
      <c r="A86" s="4" t="s">
        <v>20</v>
      </c>
      <c r="B86" s="4">
        <v>12453</v>
      </c>
      <c r="C86" s="5">
        <v>12181.99</v>
      </c>
      <c r="D86" s="5">
        <v>405592.83</v>
      </c>
      <c r="E86" s="6">
        <f>C86/D86*100</f>
        <v>3.0035023055018009</v>
      </c>
      <c r="F86" s="5">
        <f>C86/B86</f>
        <v>0.97823737252067777</v>
      </c>
    </row>
    <row r="87" spans="1:6" x14ac:dyDescent="0.25">
      <c r="A87" s="4" t="s">
        <v>16</v>
      </c>
      <c r="B87" s="4">
        <v>7970</v>
      </c>
      <c r="C87" s="5">
        <v>11394.74</v>
      </c>
      <c r="D87" s="5">
        <v>417543.16</v>
      </c>
      <c r="E87" s="6">
        <f>C87/D87*100</f>
        <v>2.7289969257309834</v>
      </c>
      <c r="F87" s="5">
        <f>C87/B87</f>
        <v>1.4297038895859473</v>
      </c>
    </row>
    <row r="88" spans="1:6" x14ac:dyDescent="0.25">
      <c r="A88" s="4" t="s">
        <v>24</v>
      </c>
      <c r="B88" s="4">
        <v>6462</v>
      </c>
      <c r="C88" s="5">
        <v>11060.08</v>
      </c>
      <c r="D88" s="5">
        <v>344176.87</v>
      </c>
      <c r="E88" s="6">
        <f>C88/D88*100</f>
        <v>3.2134872979697908</v>
      </c>
      <c r="F88" s="5">
        <f>C88/B88</f>
        <v>1.7115567935623646</v>
      </c>
    </row>
    <row r="89" spans="1:6" x14ac:dyDescent="0.25">
      <c r="A89" s="4" t="s">
        <v>8</v>
      </c>
      <c r="B89" s="4">
        <v>7310</v>
      </c>
      <c r="C89" s="5">
        <v>10341.44</v>
      </c>
      <c r="D89" s="5">
        <v>500771.13</v>
      </c>
      <c r="E89" s="6">
        <f>C89/D89*100</f>
        <v>2.065103074132888</v>
      </c>
      <c r="F89" s="5">
        <f>C89/B89</f>
        <v>1.4146976744186046</v>
      </c>
    </row>
    <row r="90" spans="1:6" x14ac:dyDescent="0.25">
      <c r="A90" s="4" t="s">
        <v>37</v>
      </c>
      <c r="B90" s="4">
        <v>8457</v>
      </c>
      <c r="C90" s="5">
        <v>9401.85</v>
      </c>
      <c r="D90" s="5">
        <v>248492.15</v>
      </c>
      <c r="E90" s="6">
        <f>C90/D90*100</f>
        <v>3.7835601647778412</v>
      </c>
      <c r="F90" s="5">
        <f>C90/B90</f>
        <v>1.1117240156083719</v>
      </c>
    </row>
    <row r="91" spans="1:6" x14ac:dyDescent="0.25">
      <c r="A91" s="4" t="s">
        <v>13</v>
      </c>
      <c r="B91" s="4">
        <v>11387</v>
      </c>
      <c r="C91" s="5">
        <v>9257.56</v>
      </c>
      <c r="D91" s="5">
        <v>351079.49</v>
      </c>
      <c r="E91" s="6">
        <f>C91/D91*100</f>
        <v>2.6368843135781015</v>
      </c>
      <c r="F91" s="5">
        <f>C91/B91</f>
        <v>0.81299376481953101</v>
      </c>
    </row>
    <row r="92" spans="1:6" x14ac:dyDescent="0.25">
      <c r="A92" s="4" t="s">
        <v>10</v>
      </c>
      <c r="B92" s="4">
        <v>10954</v>
      </c>
      <c r="C92" s="5">
        <v>8675.94</v>
      </c>
      <c r="D92" s="5">
        <v>382753.71</v>
      </c>
      <c r="E92" s="6">
        <f>C92/D92*100</f>
        <v>2.2667161083820715</v>
      </c>
      <c r="F92" s="5">
        <f>C92/B92</f>
        <v>0.7920339601971883</v>
      </c>
    </row>
    <row r="93" spans="1:6" x14ac:dyDescent="0.25">
      <c r="A93" s="4" t="s">
        <v>100</v>
      </c>
      <c r="B93" s="4">
        <v>6403</v>
      </c>
      <c r="C93" s="5">
        <v>7228.42</v>
      </c>
      <c r="D93" s="5">
        <v>98824.4</v>
      </c>
      <c r="E93" s="6">
        <f>C93/D93*100</f>
        <v>7.3144081825945824</v>
      </c>
      <c r="F93" s="5">
        <f>C93/B93</f>
        <v>1.1289114477588631</v>
      </c>
    </row>
    <row r="94" spans="1:6" x14ac:dyDescent="0.25">
      <c r="A94" s="4" t="s">
        <v>12</v>
      </c>
      <c r="B94" s="4">
        <v>7570</v>
      </c>
      <c r="C94" s="5">
        <v>6070.76</v>
      </c>
      <c r="D94" s="5">
        <v>260151.48</v>
      </c>
      <c r="E94" s="6">
        <f>C94/D94*100</f>
        <v>2.3335481312656765</v>
      </c>
      <c r="F94" s="5">
        <f>C94/B94</f>
        <v>0.80194980184940556</v>
      </c>
    </row>
    <row r="95" spans="1:6" x14ac:dyDescent="0.25">
      <c r="A95" s="4" t="s">
        <v>14</v>
      </c>
      <c r="B95" s="4">
        <v>10511</v>
      </c>
      <c r="C95" s="5">
        <v>5639.28</v>
      </c>
      <c r="D95" s="5">
        <v>212602.13</v>
      </c>
      <c r="E95" s="6">
        <f>C95/D95*100</f>
        <v>2.6525039989016101</v>
      </c>
      <c r="F95" s="5">
        <f>C95/B95</f>
        <v>0.53651222528779374</v>
      </c>
    </row>
    <row r="96" spans="1:6" x14ac:dyDescent="0.25">
      <c r="A96" s="4" t="s">
        <v>44</v>
      </c>
      <c r="B96" s="4">
        <v>8753</v>
      </c>
      <c r="C96" s="5">
        <v>5526.74</v>
      </c>
      <c r="D96" s="5">
        <v>140947.39000000001</v>
      </c>
      <c r="E96" s="6">
        <f>C96/D96*100</f>
        <v>3.9211368156586648</v>
      </c>
      <c r="F96" s="5">
        <f>C96/B96</f>
        <v>0.63141094481891924</v>
      </c>
    </row>
    <row r="97" spans="1:6" x14ac:dyDescent="0.25">
      <c r="A97" s="4" t="s">
        <v>11</v>
      </c>
      <c r="B97" s="4">
        <v>5131</v>
      </c>
      <c r="C97" s="5">
        <v>4534.01</v>
      </c>
      <c r="D97" s="5">
        <v>198067.73</v>
      </c>
      <c r="E97" s="6">
        <f>C97/D97*100</f>
        <v>2.2891209991652857</v>
      </c>
      <c r="F97" s="5">
        <f>C97/B97</f>
        <v>0.88365036055349844</v>
      </c>
    </row>
    <row r="98" spans="1:6" x14ac:dyDescent="0.25">
      <c r="A98" s="4" t="s">
        <v>6</v>
      </c>
      <c r="B98" s="4">
        <v>6317</v>
      </c>
      <c r="C98" s="5">
        <v>2640.79</v>
      </c>
      <c r="D98" s="5">
        <v>150083.92000000001</v>
      </c>
      <c r="E98" s="6">
        <f>C98/D98*100</f>
        <v>1.7595422614228091</v>
      </c>
      <c r="F98" s="5">
        <f>C98/B98</f>
        <v>0.41804495804970715</v>
      </c>
    </row>
    <row r="99" spans="1:6" x14ac:dyDescent="0.25">
      <c r="A99" s="4" t="s">
        <v>9</v>
      </c>
      <c r="B99" s="4">
        <v>4029</v>
      </c>
      <c r="C99" s="5">
        <v>2608.64</v>
      </c>
      <c r="D99" s="5">
        <v>125714.47</v>
      </c>
      <c r="E99" s="6">
        <f>C99/D99*100</f>
        <v>2.075051503617682</v>
      </c>
      <c r="F99" s="5">
        <f>C99/B99</f>
        <v>0.64746587242491926</v>
      </c>
    </row>
    <row r="100" spans="1:6" x14ac:dyDescent="0.25">
      <c r="A100" s="4" t="s">
        <v>7</v>
      </c>
      <c r="B100" s="4">
        <v>7441</v>
      </c>
      <c r="C100" s="5">
        <v>324</v>
      </c>
      <c r="D100" s="5">
        <v>16603.669999999998</v>
      </c>
      <c r="E100" s="6">
        <f>C100/D100*100</f>
        <v>1.9513758102877259</v>
      </c>
      <c r="F100" s="5">
        <f>C100/B100</f>
        <v>4.3542534605563767E-2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data-1777486098589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2026-04-29T18:08:56Z</dcterms:created>
  <dcterms:modified xsi:type="dcterms:W3CDTF">2026-04-30T18:48:07Z</dcterms:modified>
</cp:coreProperties>
</file>
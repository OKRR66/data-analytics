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1D4A0AAD-EEAC-4802-B830-1D7ED268F050}" xr6:coauthVersionLast="47" xr6:coauthVersionMax="47" xr10:uidLastSave="{00000000-0000-0000-0000-000000000000}"/>
  <bookViews>
    <workbookView xWindow="-120" yWindow="-120" windowWidth="29040" windowHeight="15720" xr2:uid="{DFFEABD4-FC9C-452B-A70A-6717FFEF8536}"/>
  </bookViews>
  <sheets>
    <sheet name="data-1777486098589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2" i="1"/>
</calcChain>
</file>

<file path=xl/sharedStrings.xml><?xml version="1.0" encoding="utf-8"?>
<sst xmlns="http://schemas.openxmlformats.org/spreadsheetml/2006/main" count="105" uniqueCount="105">
  <si>
    <t>county</t>
  </si>
  <si>
    <t>population</t>
  </si>
  <si>
    <t>bacardi_revenue</t>
  </si>
  <si>
    <t>total_market_revenue</t>
  </si>
  <si>
    <t>bacardi_market_share_pct</t>
  </si>
  <si>
    <t>bacardi_revenue_per_capita</t>
  </si>
  <si>
    <t>Taylor</t>
  </si>
  <si>
    <t>Fremont</t>
  </si>
  <si>
    <t>Pocahontas</t>
  </si>
  <si>
    <t>Adams</t>
  </si>
  <si>
    <t>Guthrie</t>
  </si>
  <si>
    <t>Ringgold</t>
  </si>
  <si>
    <t>Van Buren</t>
  </si>
  <si>
    <t>Louisa</t>
  </si>
  <si>
    <t>Keokuk</t>
  </si>
  <si>
    <t>Lucas</t>
  </si>
  <si>
    <t>Monroe</t>
  </si>
  <si>
    <t>O'Brien</t>
  </si>
  <si>
    <t>Cherokee</t>
  </si>
  <si>
    <t>Chickasaw</t>
  </si>
  <si>
    <t>Grundy</t>
  </si>
  <si>
    <t>Montgomery</t>
  </si>
  <si>
    <t>Madison</t>
  </si>
  <si>
    <t>Clarke</t>
  </si>
  <si>
    <t>Osceola</t>
  </si>
  <si>
    <t>Hamilton</t>
  </si>
  <si>
    <t>Butler</t>
  </si>
  <si>
    <t>Buchanan</t>
  </si>
  <si>
    <t>Cedar</t>
  </si>
  <si>
    <t>Adair</t>
  </si>
  <si>
    <t>Page</t>
  </si>
  <si>
    <t>Benton</t>
  </si>
  <si>
    <t>Poweshiek</t>
  </si>
  <si>
    <t>Fayette</t>
  </si>
  <si>
    <t>Warren</t>
  </si>
  <si>
    <t>Humboldt</t>
  </si>
  <si>
    <t>Cass</t>
  </si>
  <si>
    <t>Decatur</t>
  </si>
  <si>
    <t>Lyon</t>
  </si>
  <si>
    <t>Jackson</t>
  </si>
  <si>
    <t>Henry</t>
  </si>
  <si>
    <t>Crawford</t>
  </si>
  <si>
    <t>Jasper</t>
  </si>
  <si>
    <t>Union</t>
  </si>
  <si>
    <t>Davis</t>
  </si>
  <si>
    <t>Tama</t>
  </si>
  <si>
    <t>Floyd</t>
  </si>
  <si>
    <t>Ida</t>
  </si>
  <si>
    <t>Howard</t>
  </si>
  <si>
    <t>Jefferson</t>
  </si>
  <si>
    <t>Wapello</t>
  </si>
  <si>
    <t>Greene</t>
  </si>
  <si>
    <t>Marshall</t>
  </si>
  <si>
    <t>Appanoose</t>
  </si>
  <si>
    <t>Harrison</t>
  </si>
  <si>
    <t>Boone</t>
  </si>
  <si>
    <t>Clay</t>
  </si>
  <si>
    <t>Kossuth</t>
  </si>
  <si>
    <t>Plymouth</t>
  </si>
  <si>
    <t>Emmet</t>
  </si>
  <si>
    <t>Monona</t>
  </si>
  <si>
    <t>Mahaska</t>
  </si>
  <si>
    <t>Iowa</t>
  </si>
  <si>
    <t>Allamakee</t>
  </si>
  <si>
    <t>Clayton</t>
  </si>
  <si>
    <t>Delaware</t>
  </si>
  <si>
    <t>Wright</t>
  </si>
  <si>
    <t>Palo Alto</t>
  </si>
  <si>
    <t>Hardin</t>
  </si>
  <si>
    <t>Bremer</t>
  </si>
  <si>
    <t>Linn</t>
  </si>
  <si>
    <t>Mitchell</t>
  </si>
  <si>
    <t>Hancock</t>
  </si>
  <si>
    <t>Washington</t>
  </si>
  <si>
    <t>Sac</t>
  </si>
  <si>
    <t>Lee</t>
  </si>
  <si>
    <t>Marion</t>
  </si>
  <si>
    <t>Black Hawk</t>
  </si>
  <si>
    <t>Buena Vista</t>
  </si>
  <si>
    <t>Jones</t>
  </si>
  <si>
    <t>Mills</t>
  </si>
  <si>
    <t>Webster</t>
  </si>
  <si>
    <t>Cerro Gordo</t>
  </si>
  <si>
    <t>Franklin</t>
  </si>
  <si>
    <t>Des Moines</t>
  </si>
  <si>
    <t>Woodbury</t>
  </si>
  <si>
    <t>Pottawattamie</t>
  </si>
  <si>
    <t>Calhoun</t>
  </si>
  <si>
    <t>Winneshiek</t>
  </si>
  <si>
    <t>Polk</t>
  </si>
  <si>
    <t>Clinton</t>
  </si>
  <si>
    <t>Story</t>
  </si>
  <si>
    <t>Shelby</t>
  </si>
  <si>
    <t>Johnson</t>
  </si>
  <si>
    <t>Muscatine</t>
  </si>
  <si>
    <t>Scott</t>
  </si>
  <si>
    <t>Sioux</t>
  </si>
  <si>
    <t>Winnebago</t>
  </si>
  <si>
    <t>Dubuque</t>
  </si>
  <si>
    <t>Dickinson</t>
  </si>
  <si>
    <t>Wayne</t>
  </si>
  <si>
    <t>Carroll</t>
  </si>
  <si>
    <t>Audubon</t>
  </si>
  <si>
    <t>Dallas</t>
  </si>
  <si>
    <t>Worth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</si>
</sst>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8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2B738-6239-4F44-A0E3-4FF998BF97B5}">
  <dimension ref="A1:F100"/>
  <sheetViews>
    <sheetView tabSelected="1" workbookViewId="0">
      <selection activeCell="C2" sqref="C2"/>
    </sheetView>
  </sheetViews>
  <sheetFormatPr defaultRowHeight="15" x14ac:dyDescent="0.25"/>
  <cols>
    <col min="1" max="1" width="13.85546875" bestFit="1" customWidth="1"/>
    <col min="2" max="2" width="10.7109375" bestFit="1" customWidth="1"/>
    <col min="3" max="3" width="15.7109375" bestFit="1" customWidth="1"/>
    <col min="4" max="4" width="20" bestFit="1" customWidth="1"/>
    <col min="5" max="5" width="24.7109375" bestFit="1" customWidth="1"/>
    <col min="6" max="6" width="26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>
        <v>6317</v>
      </c>
      <c r="C2" s="1">
        <v>2640.79</v>
      </c>
      <c r="D2" s="1">
        <v>150083.92000000001</v>
      </c>
      <c r="E2" s="2">
        <f>C2/D2*100</f>
        <v>1.7595422614228091</v>
      </c>
      <c r="F2" s="1">
        <f>C2/B2</f>
        <v>0.41804495804970715</v>
      </c>
    </row>
    <row r="3" spans="1:6" x14ac:dyDescent="0.25">
      <c r="A3" t="s">
        <v>7</v>
      </c>
      <c r="B3">
        <v>7441</v>
      </c>
      <c r="C3" s="1">
        <v>324</v>
      </c>
      <c r="D3" s="1">
        <v>16603.669999999998</v>
      </c>
      <c r="E3" s="2">
        <f t="shared" ref="E3:E66" si="0">C3/D3*100</f>
        <v>1.9513758102877259</v>
      </c>
      <c r="F3" s="1">
        <f>C3/B3</f>
        <v>4.3542534605563767E-2</v>
      </c>
    </row>
    <row r="4" spans="1:6" x14ac:dyDescent="0.25">
      <c r="A4" t="s">
        <v>8</v>
      </c>
      <c r="B4">
        <v>7310</v>
      </c>
      <c r="C4" s="1">
        <v>10341.44</v>
      </c>
      <c r="D4" s="1">
        <v>500771.13</v>
      </c>
      <c r="E4" s="2">
        <f t="shared" si="0"/>
        <v>2.065103074132888</v>
      </c>
      <c r="F4" s="1">
        <f t="shared" ref="F4:F67" si="1">C4/B4</f>
        <v>1.4146976744186046</v>
      </c>
    </row>
    <row r="5" spans="1:6" x14ac:dyDescent="0.25">
      <c r="A5" t="s">
        <v>9</v>
      </c>
      <c r="B5">
        <v>4029</v>
      </c>
      <c r="C5" s="1">
        <v>2608.64</v>
      </c>
      <c r="D5" s="1">
        <v>125714.47</v>
      </c>
      <c r="E5" s="2">
        <f t="shared" si="0"/>
        <v>2.075051503617682</v>
      </c>
      <c r="F5" s="1">
        <f t="shared" si="1"/>
        <v>0.64746587242491926</v>
      </c>
    </row>
    <row r="6" spans="1:6" x14ac:dyDescent="0.25">
      <c r="A6" t="s">
        <v>10</v>
      </c>
      <c r="B6">
        <v>10954</v>
      </c>
      <c r="C6" s="1">
        <v>8675.94</v>
      </c>
      <c r="D6" s="1">
        <v>382753.71</v>
      </c>
      <c r="E6" s="2">
        <f t="shared" si="0"/>
        <v>2.2667161083820715</v>
      </c>
      <c r="F6" s="1">
        <f t="shared" si="1"/>
        <v>0.7920339601971883</v>
      </c>
    </row>
    <row r="7" spans="1:6" x14ac:dyDescent="0.25">
      <c r="A7" t="s">
        <v>11</v>
      </c>
      <c r="B7">
        <v>5131</v>
      </c>
      <c r="C7" s="1">
        <v>4534.01</v>
      </c>
      <c r="D7" s="1">
        <v>198067.73</v>
      </c>
      <c r="E7" s="2">
        <f t="shared" si="0"/>
        <v>2.2891209991652857</v>
      </c>
      <c r="F7" s="1">
        <f t="shared" si="1"/>
        <v>0.88365036055349844</v>
      </c>
    </row>
    <row r="8" spans="1:6" x14ac:dyDescent="0.25">
      <c r="A8" t="s">
        <v>12</v>
      </c>
      <c r="B8">
        <v>7570</v>
      </c>
      <c r="C8" s="1">
        <v>6070.76</v>
      </c>
      <c r="D8" s="1">
        <v>260151.48</v>
      </c>
      <c r="E8" s="2">
        <f t="shared" si="0"/>
        <v>2.3335481312656765</v>
      </c>
      <c r="F8" s="1">
        <f t="shared" si="1"/>
        <v>0.80194980184940556</v>
      </c>
    </row>
    <row r="9" spans="1:6" x14ac:dyDescent="0.25">
      <c r="A9" t="s">
        <v>13</v>
      </c>
      <c r="B9">
        <v>11387</v>
      </c>
      <c r="C9" s="1">
        <v>9257.56</v>
      </c>
      <c r="D9" s="1">
        <v>351079.49</v>
      </c>
      <c r="E9" s="2">
        <f t="shared" si="0"/>
        <v>2.6368843135781015</v>
      </c>
      <c r="F9" s="1">
        <f t="shared" si="1"/>
        <v>0.81299376481953101</v>
      </c>
    </row>
    <row r="10" spans="1:6" x14ac:dyDescent="0.25">
      <c r="A10" t="s">
        <v>14</v>
      </c>
      <c r="B10">
        <v>10511</v>
      </c>
      <c r="C10" s="1">
        <v>5639.28</v>
      </c>
      <c r="D10" s="1">
        <v>212602.13</v>
      </c>
      <c r="E10" s="2">
        <f t="shared" si="0"/>
        <v>2.6525039989016101</v>
      </c>
      <c r="F10" s="1">
        <f t="shared" si="1"/>
        <v>0.53651222528779374</v>
      </c>
    </row>
    <row r="11" spans="1:6" x14ac:dyDescent="0.25">
      <c r="A11" t="s">
        <v>15</v>
      </c>
      <c r="B11">
        <v>8898</v>
      </c>
      <c r="C11" s="1">
        <v>15618.24</v>
      </c>
      <c r="D11" s="1">
        <v>580658.38</v>
      </c>
      <c r="E11" s="2">
        <f t="shared" si="0"/>
        <v>2.6897467664205585</v>
      </c>
      <c r="F11" s="1">
        <f t="shared" si="1"/>
        <v>1.7552528658125421</v>
      </c>
    </row>
    <row r="12" spans="1:6" x14ac:dyDescent="0.25">
      <c r="A12" t="s">
        <v>16</v>
      </c>
      <c r="B12">
        <v>7970</v>
      </c>
      <c r="C12" s="1">
        <v>11394.74</v>
      </c>
      <c r="D12" s="1">
        <v>417543.16</v>
      </c>
      <c r="E12" s="2">
        <f t="shared" si="0"/>
        <v>2.7289969257309834</v>
      </c>
      <c r="F12" s="1">
        <f t="shared" si="1"/>
        <v>1.4297038895859473</v>
      </c>
    </row>
    <row r="13" spans="1:6" x14ac:dyDescent="0.25">
      <c r="A13" t="s">
        <v>17</v>
      </c>
      <c r="B13">
        <v>14398</v>
      </c>
      <c r="C13" s="1">
        <v>49562.45</v>
      </c>
      <c r="D13" s="1">
        <v>1776809.53</v>
      </c>
      <c r="E13" s="2">
        <f t="shared" si="0"/>
        <v>2.7894070334032932</v>
      </c>
      <c r="F13" s="1">
        <f t="shared" si="1"/>
        <v>3.4423149048478954</v>
      </c>
    </row>
    <row r="14" spans="1:6" x14ac:dyDescent="0.25">
      <c r="A14" t="s">
        <v>18</v>
      </c>
      <c r="B14">
        <v>12072</v>
      </c>
      <c r="C14" s="1">
        <v>28436.58</v>
      </c>
      <c r="D14" s="1">
        <v>981007.93</v>
      </c>
      <c r="E14" s="2">
        <f t="shared" si="0"/>
        <v>2.898710512972102</v>
      </c>
      <c r="F14" s="1">
        <f t="shared" si="1"/>
        <v>2.3555815109343938</v>
      </c>
    </row>
    <row r="15" spans="1:6" x14ac:dyDescent="0.25">
      <c r="A15" t="s">
        <v>19</v>
      </c>
      <c r="B15">
        <v>12439</v>
      </c>
      <c r="C15" s="1">
        <v>16101.61</v>
      </c>
      <c r="D15" s="1">
        <v>548956.25</v>
      </c>
      <c r="E15" s="2">
        <f t="shared" si="0"/>
        <v>2.9331317386403746</v>
      </c>
      <c r="F15" s="1">
        <f t="shared" si="1"/>
        <v>1.2944456949915588</v>
      </c>
    </row>
    <row r="16" spans="1:6" x14ac:dyDescent="0.25">
      <c r="A16" t="s">
        <v>20</v>
      </c>
      <c r="B16">
        <v>12453</v>
      </c>
      <c r="C16" s="1">
        <v>12181.99</v>
      </c>
      <c r="D16" s="1">
        <v>405592.83</v>
      </c>
      <c r="E16" s="2">
        <f t="shared" si="0"/>
        <v>3.0035023055018009</v>
      </c>
      <c r="F16" s="1">
        <f t="shared" si="1"/>
        <v>0.97823737252067777</v>
      </c>
    </row>
    <row r="17" spans="1:6" x14ac:dyDescent="0.25">
      <c r="A17" t="s">
        <v>21</v>
      </c>
      <c r="B17">
        <v>10740</v>
      </c>
      <c r="C17" s="1">
        <v>25670.92</v>
      </c>
      <c r="D17" s="1">
        <v>839109.2</v>
      </c>
      <c r="E17" s="2">
        <f t="shared" si="0"/>
        <v>3.0593062261741379</v>
      </c>
      <c r="F17" s="1">
        <f t="shared" si="1"/>
        <v>2.3902160148975788</v>
      </c>
    </row>
    <row r="18" spans="1:6" x14ac:dyDescent="0.25">
      <c r="A18" t="s">
        <v>22</v>
      </c>
      <c r="B18">
        <v>15679</v>
      </c>
      <c r="C18" s="1">
        <v>26196.1</v>
      </c>
      <c r="D18" s="1">
        <v>848829.42</v>
      </c>
      <c r="E18" s="2">
        <f t="shared" si="0"/>
        <v>3.0861442102230621</v>
      </c>
      <c r="F18" s="1">
        <f t="shared" si="1"/>
        <v>1.6707761974615727</v>
      </c>
    </row>
    <row r="19" spans="1:6" x14ac:dyDescent="0.25">
      <c r="A19" t="s">
        <v>23</v>
      </c>
      <c r="B19">
        <v>9286</v>
      </c>
      <c r="C19" s="1">
        <v>26126.79</v>
      </c>
      <c r="D19" s="1">
        <v>845731.43</v>
      </c>
      <c r="E19" s="2">
        <f t="shared" si="0"/>
        <v>3.0892537599081544</v>
      </c>
      <c r="F19" s="1">
        <f t="shared" si="1"/>
        <v>2.8135677363773421</v>
      </c>
    </row>
    <row r="20" spans="1:6" x14ac:dyDescent="0.25">
      <c r="A20" t="s">
        <v>24</v>
      </c>
      <c r="B20">
        <v>6462</v>
      </c>
      <c r="C20" s="1">
        <v>11060.08</v>
      </c>
      <c r="D20" s="1">
        <v>344176.87</v>
      </c>
      <c r="E20" s="2">
        <f t="shared" si="0"/>
        <v>3.2134872979697908</v>
      </c>
      <c r="F20" s="1">
        <f t="shared" si="1"/>
        <v>1.7115567935623646</v>
      </c>
    </row>
    <row r="21" spans="1:6" x14ac:dyDescent="0.25">
      <c r="A21" t="s">
        <v>25</v>
      </c>
      <c r="B21">
        <v>15673</v>
      </c>
      <c r="C21" s="1">
        <v>40060.33</v>
      </c>
      <c r="D21" s="1">
        <v>1244371.58</v>
      </c>
      <c r="E21" s="2">
        <f t="shared" si="0"/>
        <v>3.2193221577754132</v>
      </c>
      <c r="F21" s="1">
        <f t="shared" si="1"/>
        <v>2.5560090601671668</v>
      </c>
    </row>
    <row r="22" spans="1:6" x14ac:dyDescent="0.25">
      <c r="A22" t="s">
        <v>26</v>
      </c>
      <c r="B22">
        <v>14867</v>
      </c>
      <c r="C22" s="1">
        <v>12890.83</v>
      </c>
      <c r="D22" s="1">
        <v>399080.61</v>
      </c>
      <c r="E22" s="2">
        <f t="shared" si="0"/>
        <v>3.2301318773668304</v>
      </c>
      <c r="F22" s="1">
        <f t="shared" si="1"/>
        <v>0.86707674715813543</v>
      </c>
    </row>
    <row r="23" spans="1:6" x14ac:dyDescent="0.25">
      <c r="A23" t="s">
        <v>27</v>
      </c>
      <c r="B23">
        <v>20958</v>
      </c>
      <c r="C23" s="1">
        <v>63235.22</v>
      </c>
      <c r="D23" s="1">
        <v>1949162.4</v>
      </c>
      <c r="E23" s="2">
        <f t="shared" si="0"/>
        <v>3.2442253144222359</v>
      </c>
      <c r="F23" s="1">
        <f t="shared" si="1"/>
        <v>3.0172354232274072</v>
      </c>
    </row>
    <row r="24" spans="1:6" x14ac:dyDescent="0.25">
      <c r="A24" t="s">
        <v>28</v>
      </c>
      <c r="B24">
        <v>18499</v>
      </c>
      <c r="C24" s="1">
        <v>27141.01</v>
      </c>
      <c r="D24" s="1">
        <v>783200.87</v>
      </c>
      <c r="E24" s="2">
        <f t="shared" si="0"/>
        <v>3.4653957930358277</v>
      </c>
      <c r="F24" s="1">
        <f t="shared" si="1"/>
        <v>1.4671609276177089</v>
      </c>
    </row>
    <row r="25" spans="1:6" x14ac:dyDescent="0.25">
      <c r="A25" t="s">
        <v>29</v>
      </c>
      <c r="B25">
        <v>7682</v>
      </c>
      <c r="C25" s="1">
        <v>21515.54</v>
      </c>
      <c r="D25" s="1">
        <v>603088.67000000004</v>
      </c>
      <c r="E25" s="2">
        <f t="shared" si="0"/>
        <v>3.5675583160930544</v>
      </c>
      <c r="F25" s="1">
        <f t="shared" si="1"/>
        <v>2.8007732361364228</v>
      </c>
    </row>
    <row r="26" spans="1:6" x14ac:dyDescent="0.25">
      <c r="A26" t="s">
        <v>30</v>
      </c>
      <c r="B26">
        <v>15932</v>
      </c>
      <c r="C26" s="1">
        <v>57715.61</v>
      </c>
      <c r="D26" s="1">
        <v>1618152.03</v>
      </c>
      <c r="E26" s="2">
        <f t="shared" si="0"/>
        <v>3.5667606584530871</v>
      </c>
      <c r="F26" s="1">
        <f t="shared" si="1"/>
        <v>3.6226217675119257</v>
      </c>
    </row>
    <row r="27" spans="1:6" x14ac:dyDescent="0.25">
      <c r="A27" t="s">
        <v>31</v>
      </c>
      <c r="B27">
        <v>26076</v>
      </c>
      <c r="C27" s="1">
        <v>35458.29</v>
      </c>
      <c r="D27" s="1">
        <v>994344.98</v>
      </c>
      <c r="E27" s="2">
        <f t="shared" si="0"/>
        <v>3.5659947717541653</v>
      </c>
      <c r="F27" s="1">
        <f t="shared" si="1"/>
        <v>1.3598055683387023</v>
      </c>
    </row>
    <row r="28" spans="1:6" x14ac:dyDescent="0.25">
      <c r="A28" t="s">
        <v>32</v>
      </c>
      <c r="B28">
        <v>18914</v>
      </c>
      <c r="C28" s="1">
        <v>74442.75</v>
      </c>
      <c r="D28" s="1">
        <v>2012519.27</v>
      </c>
      <c r="E28" s="2">
        <f t="shared" si="0"/>
        <v>3.6989832152017108</v>
      </c>
      <c r="F28" s="1">
        <f t="shared" si="1"/>
        <v>3.9358543935708998</v>
      </c>
    </row>
    <row r="29" spans="1:6" x14ac:dyDescent="0.25">
      <c r="A29" t="s">
        <v>33</v>
      </c>
      <c r="B29">
        <v>20880</v>
      </c>
      <c r="C29" s="1">
        <v>61733.24</v>
      </c>
      <c r="D29" s="1">
        <v>1668008.23</v>
      </c>
      <c r="E29" s="2">
        <f t="shared" si="0"/>
        <v>3.7010153121366796</v>
      </c>
      <c r="F29" s="1">
        <f t="shared" si="1"/>
        <v>2.9565727969348656</v>
      </c>
    </row>
    <row r="30" spans="1:6" x14ac:dyDescent="0.25">
      <c r="A30" t="s">
        <v>34</v>
      </c>
      <c r="B30">
        <v>46225</v>
      </c>
      <c r="C30" s="1">
        <v>113032.02</v>
      </c>
      <c r="D30" s="1">
        <v>3028648.21</v>
      </c>
      <c r="E30" s="2">
        <f t="shared" si="0"/>
        <v>3.732094722219323</v>
      </c>
      <c r="F30" s="1">
        <f t="shared" si="1"/>
        <v>2.4452573282855599</v>
      </c>
    </row>
    <row r="31" spans="1:6" x14ac:dyDescent="0.25">
      <c r="A31" t="s">
        <v>35</v>
      </c>
      <c r="B31">
        <v>9815</v>
      </c>
      <c r="C31" s="1">
        <v>35280.74</v>
      </c>
      <c r="D31" s="1">
        <v>940960.97</v>
      </c>
      <c r="E31" s="2">
        <f t="shared" si="0"/>
        <v>3.74943713127655</v>
      </c>
      <c r="F31" s="1">
        <f t="shared" si="1"/>
        <v>3.5945736118186447</v>
      </c>
    </row>
    <row r="32" spans="1:6" x14ac:dyDescent="0.25">
      <c r="A32" t="s">
        <v>36</v>
      </c>
      <c r="B32">
        <v>13956</v>
      </c>
      <c r="C32" s="1">
        <v>57464.92</v>
      </c>
      <c r="D32" s="1">
        <v>1527535.95</v>
      </c>
      <c r="E32" s="2">
        <f t="shared" si="0"/>
        <v>3.7619356847215282</v>
      </c>
      <c r="F32" s="1">
        <f t="shared" si="1"/>
        <v>4.1175781026081975</v>
      </c>
    </row>
    <row r="33" spans="1:6" x14ac:dyDescent="0.25">
      <c r="A33" t="s">
        <v>37</v>
      </c>
      <c r="B33">
        <v>8457</v>
      </c>
      <c r="C33" s="1">
        <v>9401.85</v>
      </c>
      <c r="D33" s="1">
        <v>248492.15</v>
      </c>
      <c r="E33" s="2">
        <f t="shared" si="0"/>
        <v>3.7835601647778412</v>
      </c>
      <c r="F33" s="1">
        <f t="shared" si="1"/>
        <v>1.1117240156083719</v>
      </c>
    </row>
    <row r="34" spans="1:6" x14ac:dyDescent="0.25">
      <c r="A34" t="s">
        <v>38</v>
      </c>
      <c r="B34">
        <v>11581</v>
      </c>
      <c r="C34" s="1">
        <v>39498.199999999997</v>
      </c>
      <c r="D34" s="1">
        <v>1024856.07</v>
      </c>
      <c r="E34" s="2">
        <f t="shared" si="0"/>
        <v>3.8540241070143635</v>
      </c>
      <c r="F34" s="1">
        <f t="shared" si="1"/>
        <v>3.410603574820827</v>
      </c>
    </row>
    <row r="35" spans="1:6" x14ac:dyDescent="0.25">
      <c r="A35" t="s">
        <v>39</v>
      </c>
      <c r="B35">
        <v>19848</v>
      </c>
      <c r="C35" s="1">
        <v>66948.39</v>
      </c>
      <c r="D35" s="1">
        <v>1720246.48</v>
      </c>
      <c r="E35" s="2">
        <f t="shared" si="0"/>
        <v>3.8917905531770076</v>
      </c>
      <c r="F35" s="1">
        <f t="shared" si="1"/>
        <v>3.3730547158403867</v>
      </c>
    </row>
    <row r="36" spans="1:6" x14ac:dyDescent="0.25">
      <c r="A36" t="s">
        <v>40</v>
      </c>
      <c r="B36">
        <v>20145</v>
      </c>
      <c r="C36" s="1">
        <v>60484.77</v>
      </c>
      <c r="D36" s="1">
        <v>1550328.8</v>
      </c>
      <c r="E36" s="2">
        <f t="shared" si="0"/>
        <v>3.9014156222860592</v>
      </c>
      <c r="F36" s="1">
        <f t="shared" si="1"/>
        <v>3.002470588235294</v>
      </c>
    </row>
    <row r="37" spans="1:6" x14ac:dyDescent="0.25">
      <c r="A37" t="s">
        <v>41</v>
      </c>
      <c r="B37">
        <v>17096</v>
      </c>
      <c r="C37" s="1">
        <v>76806.28</v>
      </c>
      <c r="D37" s="1">
        <v>1971876.55</v>
      </c>
      <c r="E37" s="2">
        <f t="shared" si="0"/>
        <v>3.8950856228803974</v>
      </c>
      <c r="F37" s="1">
        <f t="shared" si="1"/>
        <v>4.4926462330369681</v>
      </c>
    </row>
    <row r="38" spans="1:6" x14ac:dyDescent="0.25">
      <c r="A38" t="s">
        <v>42</v>
      </c>
      <c r="B38">
        <v>36842</v>
      </c>
      <c r="C38" s="1">
        <v>99564.47</v>
      </c>
      <c r="D38" s="1">
        <v>2544580.83</v>
      </c>
      <c r="E38" s="2">
        <f t="shared" si="0"/>
        <v>3.9128043733631364</v>
      </c>
      <c r="F38" s="1">
        <f t="shared" si="1"/>
        <v>2.7024719070625918</v>
      </c>
    </row>
    <row r="39" spans="1:6" x14ac:dyDescent="0.25">
      <c r="A39" t="s">
        <v>43</v>
      </c>
      <c r="B39">
        <v>12534</v>
      </c>
      <c r="C39" s="1">
        <v>52390.8</v>
      </c>
      <c r="D39" s="1">
        <v>1337091.6299999999</v>
      </c>
      <c r="E39" s="2">
        <f t="shared" si="0"/>
        <v>3.9182654968829631</v>
      </c>
      <c r="F39" s="1">
        <f t="shared" si="1"/>
        <v>4.1798946864528483</v>
      </c>
    </row>
    <row r="40" spans="1:6" x14ac:dyDescent="0.25">
      <c r="A40" t="s">
        <v>44</v>
      </c>
      <c r="B40">
        <v>8753</v>
      </c>
      <c r="C40" s="1">
        <v>5526.74</v>
      </c>
      <c r="D40" s="1">
        <v>140947.39000000001</v>
      </c>
      <c r="E40" s="2">
        <f t="shared" si="0"/>
        <v>3.9211368156586648</v>
      </c>
      <c r="F40" s="1">
        <f t="shared" si="1"/>
        <v>0.63141094481891924</v>
      </c>
    </row>
    <row r="41" spans="1:6" x14ac:dyDescent="0.25">
      <c r="A41" t="s">
        <v>45</v>
      </c>
      <c r="B41">
        <v>17767</v>
      </c>
      <c r="C41" s="1">
        <v>34468.89</v>
      </c>
      <c r="D41" s="1">
        <v>876011.17</v>
      </c>
      <c r="E41" s="2">
        <f t="shared" si="0"/>
        <v>3.9347546219073894</v>
      </c>
      <c r="F41" s="1">
        <f t="shared" si="1"/>
        <v>1.9400512185512466</v>
      </c>
    </row>
    <row r="42" spans="1:6" x14ac:dyDescent="0.25">
      <c r="A42" t="s">
        <v>46</v>
      </c>
      <c r="B42">
        <v>16303</v>
      </c>
      <c r="C42" s="1">
        <v>62743.6</v>
      </c>
      <c r="D42" s="1">
        <v>1571213.86</v>
      </c>
      <c r="E42" s="2">
        <f t="shared" si="0"/>
        <v>3.9933201709409563</v>
      </c>
      <c r="F42" s="1">
        <f t="shared" si="1"/>
        <v>3.84859228362878</v>
      </c>
    </row>
    <row r="43" spans="1:6" x14ac:dyDescent="0.25">
      <c r="A43" t="s">
        <v>47</v>
      </c>
      <c r="B43">
        <v>7089</v>
      </c>
      <c r="C43" s="1">
        <v>24214.49</v>
      </c>
      <c r="D43" s="1">
        <v>603641</v>
      </c>
      <c r="E43" s="2">
        <f t="shared" si="0"/>
        <v>4.0114057858892949</v>
      </c>
      <c r="F43" s="1">
        <f t="shared" si="1"/>
        <v>3.4157836084073918</v>
      </c>
    </row>
    <row r="44" spans="1:6" x14ac:dyDescent="0.25">
      <c r="A44" t="s">
        <v>48</v>
      </c>
      <c r="B44">
        <v>9566</v>
      </c>
      <c r="C44" s="1">
        <v>44911.51</v>
      </c>
      <c r="D44" s="1">
        <v>1114317.54</v>
      </c>
      <c r="E44" s="2">
        <f t="shared" si="0"/>
        <v>4.0304050136373153</v>
      </c>
      <c r="F44" s="1">
        <f t="shared" si="1"/>
        <v>4.6949100982646881</v>
      </c>
    </row>
    <row r="45" spans="1:6" x14ac:dyDescent="0.25">
      <c r="A45" t="s">
        <v>49</v>
      </c>
      <c r="B45">
        <v>16843</v>
      </c>
      <c r="C45" s="1">
        <v>46136.17</v>
      </c>
      <c r="D45" s="1">
        <v>1120768.6100000001</v>
      </c>
      <c r="E45" s="2">
        <f t="shared" si="0"/>
        <v>4.1164759244997056</v>
      </c>
      <c r="F45" s="1">
        <f t="shared" si="1"/>
        <v>2.739189574303865</v>
      </c>
    </row>
    <row r="46" spans="1:6" x14ac:dyDescent="0.25">
      <c r="A46" t="s">
        <v>50</v>
      </c>
      <c r="B46">
        <v>35625</v>
      </c>
      <c r="C46" s="1">
        <v>150752.51</v>
      </c>
      <c r="D46" s="1">
        <v>3658972.86</v>
      </c>
      <c r="E46" s="2">
        <f t="shared" si="0"/>
        <v>4.1200772940414767</v>
      </c>
      <c r="F46" s="1">
        <f t="shared" si="1"/>
        <v>4.2316494035087722</v>
      </c>
    </row>
    <row r="47" spans="1:6" x14ac:dyDescent="0.25">
      <c r="A47" t="s">
        <v>51</v>
      </c>
      <c r="B47">
        <v>9336</v>
      </c>
      <c r="C47" s="1">
        <v>22717.33</v>
      </c>
      <c r="D47" s="1">
        <v>548905.25</v>
      </c>
      <c r="E47" s="2">
        <f t="shared" si="0"/>
        <v>4.1386614538665834</v>
      </c>
      <c r="F47" s="1">
        <f t="shared" si="1"/>
        <v>2.43330441302485</v>
      </c>
    </row>
    <row r="48" spans="1:6" x14ac:dyDescent="0.25">
      <c r="A48" t="s">
        <v>52</v>
      </c>
      <c r="B48">
        <v>40648</v>
      </c>
      <c r="C48" s="1">
        <v>171773.87</v>
      </c>
      <c r="D48" s="1">
        <v>4092699.9</v>
      </c>
      <c r="E48" s="2">
        <f t="shared" si="0"/>
        <v>4.1970795366647824</v>
      </c>
      <c r="F48" s="1">
        <f t="shared" si="1"/>
        <v>4.2258873745325722</v>
      </c>
    </row>
    <row r="49" spans="1:6" x14ac:dyDescent="0.25">
      <c r="A49" t="s">
        <v>53</v>
      </c>
      <c r="B49">
        <v>12884</v>
      </c>
      <c r="C49" s="1">
        <v>45914.71</v>
      </c>
      <c r="D49" s="1">
        <v>1089064.58</v>
      </c>
      <c r="E49" s="2">
        <f t="shared" si="0"/>
        <v>4.2159767972621056</v>
      </c>
      <c r="F49" s="1">
        <f t="shared" si="1"/>
        <v>3.5636999379074821</v>
      </c>
    </row>
    <row r="50" spans="1:6" x14ac:dyDescent="0.25">
      <c r="A50" t="s">
        <v>54</v>
      </c>
      <c r="B50">
        <v>14928</v>
      </c>
      <c r="C50" s="1">
        <v>27614.22</v>
      </c>
      <c r="D50" s="1">
        <v>651345.05000000005</v>
      </c>
      <c r="E50" s="2">
        <f t="shared" si="0"/>
        <v>4.2395685666145768</v>
      </c>
      <c r="F50" s="1">
        <f t="shared" si="1"/>
        <v>1.8498271704180065</v>
      </c>
    </row>
    <row r="51" spans="1:6" x14ac:dyDescent="0.25">
      <c r="A51" t="s">
        <v>55</v>
      </c>
      <c r="B51">
        <v>26306</v>
      </c>
      <c r="C51" s="1">
        <v>103743.97</v>
      </c>
      <c r="D51" s="1">
        <v>2441399.88</v>
      </c>
      <c r="E51" s="2">
        <f t="shared" si="0"/>
        <v>4.2493640984368364</v>
      </c>
      <c r="F51" s="1">
        <f t="shared" si="1"/>
        <v>3.9437379305101499</v>
      </c>
    </row>
    <row r="52" spans="1:6" x14ac:dyDescent="0.25">
      <c r="A52" t="s">
        <v>56</v>
      </c>
      <c r="B52">
        <v>16667</v>
      </c>
      <c r="C52" s="1">
        <v>91847.67</v>
      </c>
      <c r="D52" s="1">
        <v>2140888</v>
      </c>
      <c r="E52" s="2">
        <f t="shared" si="0"/>
        <v>4.2901669774411362</v>
      </c>
      <c r="F52" s="1">
        <f t="shared" si="1"/>
        <v>5.5107499850002997</v>
      </c>
    </row>
    <row r="53" spans="1:6" x14ac:dyDescent="0.25">
      <c r="A53" t="s">
        <v>57</v>
      </c>
      <c r="B53">
        <v>15543</v>
      </c>
      <c r="C53" s="1">
        <v>109020.44</v>
      </c>
      <c r="D53" s="1">
        <v>2522531.13</v>
      </c>
      <c r="E53" s="2">
        <f t="shared" si="0"/>
        <v>4.3218669812808219</v>
      </c>
      <c r="F53" s="1">
        <f t="shared" si="1"/>
        <v>7.01411825258959</v>
      </c>
    </row>
    <row r="54" spans="1:6" x14ac:dyDescent="0.25">
      <c r="A54" t="s">
        <v>58</v>
      </c>
      <c r="B54">
        <v>24986</v>
      </c>
      <c r="C54" s="1">
        <v>98421.36</v>
      </c>
      <c r="D54" s="1">
        <v>2268583.98</v>
      </c>
      <c r="E54" s="2">
        <f t="shared" si="0"/>
        <v>4.3384490443241166</v>
      </c>
      <c r="F54" s="1">
        <f t="shared" si="1"/>
        <v>3.9390602737533018</v>
      </c>
    </row>
    <row r="55" spans="1:6" x14ac:dyDescent="0.25">
      <c r="A55" t="s">
        <v>59</v>
      </c>
      <c r="B55">
        <v>10302</v>
      </c>
      <c r="C55" s="1">
        <v>36939.01</v>
      </c>
      <c r="D55" s="1">
        <v>840077.29</v>
      </c>
      <c r="E55" s="2">
        <f t="shared" si="0"/>
        <v>4.3970966052421199</v>
      </c>
      <c r="F55" s="1">
        <f t="shared" si="1"/>
        <v>3.5856154144826249</v>
      </c>
    </row>
    <row r="56" spans="1:6" x14ac:dyDescent="0.25">
      <c r="A56" t="s">
        <v>60</v>
      </c>
      <c r="B56">
        <v>9243</v>
      </c>
      <c r="C56" s="1">
        <v>34907.31</v>
      </c>
      <c r="D56" s="1">
        <v>790327.5</v>
      </c>
      <c r="E56" s="2">
        <f t="shared" si="0"/>
        <v>4.416815813697486</v>
      </c>
      <c r="F56" s="1">
        <f t="shared" si="1"/>
        <v>3.7766212268743913</v>
      </c>
    </row>
    <row r="57" spans="1:6" x14ac:dyDescent="0.25">
      <c r="A57" t="s">
        <v>61</v>
      </c>
      <c r="B57">
        <v>22381</v>
      </c>
      <c r="C57" s="1">
        <v>62480.56</v>
      </c>
      <c r="D57" s="1">
        <v>1378251.77</v>
      </c>
      <c r="E57" s="2">
        <f t="shared" si="0"/>
        <v>4.5333197721922751</v>
      </c>
      <c r="F57" s="1">
        <f t="shared" si="1"/>
        <v>2.7916786560028592</v>
      </c>
    </row>
    <row r="58" spans="1:6" x14ac:dyDescent="0.25">
      <c r="A58" t="s">
        <v>62</v>
      </c>
      <c r="B58">
        <v>16355</v>
      </c>
      <c r="C58" s="1">
        <v>101092.47</v>
      </c>
      <c r="D58" s="1">
        <v>2226471.23</v>
      </c>
      <c r="E58" s="2">
        <f t="shared" si="0"/>
        <v>4.5404795102607274</v>
      </c>
      <c r="F58" s="1">
        <f t="shared" si="1"/>
        <v>6.1811354325894223</v>
      </c>
    </row>
    <row r="59" spans="1:6" x14ac:dyDescent="0.25">
      <c r="A59" t="s">
        <v>63</v>
      </c>
      <c r="B59">
        <v>14330</v>
      </c>
      <c r="C59" s="1">
        <v>51494.400000000001</v>
      </c>
      <c r="D59" s="1">
        <v>1107480.6599999999</v>
      </c>
      <c r="E59" s="2">
        <f t="shared" si="0"/>
        <v>4.6496884198411204</v>
      </c>
      <c r="F59" s="1">
        <f t="shared" si="1"/>
        <v>3.5934682484298675</v>
      </c>
    </row>
    <row r="60" spans="1:6" x14ac:dyDescent="0.25">
      <c r="A60" t="s">
        <v>64</v>
      </c>
      <c r="B60">
        <v>18129</v>
      </c>
      <c r="C60" s="1">
        <v>46359.44</v>
      </c>
      <c r="D60" s="1">
        <v>994568.53</v>
      </c>
      <c r="E60" s="2">
        <f t="shared" si="0"/>
        <v>4.6612615020103245</v>
      </c>
      <c r="F60" s="1">
        <f t="shared" si="1"/>
        <v>2.557197859782669</v>
      </c>
    </row>
    <row r="61" spans="1:6" x14ac:dyDescent="0.25">
      <c r="A61" t="s">
        <v>65</v>
      </c>
      <c r="B61">
        <v>17764</v>
      </c>
      <c r="C61" s="1">
        <v>59983.69</v>
      </c>
      <c r="D61" s="1">
        <v>1277554.19</v>
      </c>
      <c r="E61" s="2">
        <f t="shared" si="0"/>
        <v>4.6951973129218105</v>
      </c>
      <c r="F61" s="1">
        <f t="shared" si="1"/>
        <v>3.3766995046160777</v>
      </c>
    </row>
    <row r="62" spans="1:6" x14ac:dyDescent="0.25">
      <c r="A62" t="s">
        <v>66</v>
      </c>
      <c r="B62">
        <v>13229</v>
      </c>
      <c r="C62" s="1">
        <v>46853.14</v>
      </c>
      <c r="D62" s="1">
        <v>991451.14</v>
      </c>
      <c r="E62" s="2">
        <f t="shared" si="0"/>
        <v>4.7257134627935367</v>
      </c>
      <c r="F62" s="1">
        <f t="shared" si="1"/>
        <v>3.5416992969990173</v>
      </c>
    </row>
    <row r="63" spans="1:6" x14ac:dyDescent="0.25">
      <c r="A63" t="s">
        <v>67</v>
      </c>
      <c r="B63">
        <v>9421</v>
      </c>
      <c r="C63" s="1">
        <v>44902.11</v>
      </c>
      <c r="D63" s="1">
        <v>941404.65</v>
      </c>
      <c r="E63" s="2">
        <f t="shared" si="0"/>
        <v>4.7696928201916151</v>
      </c>
      <c r="F63" s="1">
        <f t="shared" si="1"/>
        <v>4.7661723808512901</v>
      </c>
    </row>
    <row r="64" spans="1:6" x14ac:dyDescent="0.25">
      <c r="A64" t="s">
        <v>68</v>
      </c>
      <c r="B64">
        <v>17534</v>
      </c>
      <c r="C64" s="1">
        <v>124040.4</v>
      </c>
      <c r="D64" s="1">
        <v>2567270.44</v>
      </c>
      <c r="E64" s="2">
        <f t="shared" si="0"/>
        <v>4.8316062876492278</v>
      </c>
      <c r="F64" s="1">
        <f t="shared" si="1"/>
        <v>7.0742785445420324</v>
      </c>
    </row>
    <row r="65" spans="1:6" x14ac:dyDescent="0.25">
      <c r="A65" t="s">
        <v>69</v>
      </c>
      <c r="B65">
        <v>24276</v>
      </c>
      <c r="C65" s="1">
        <v>121325.16</v>
      </c>
      <c r="D65" s="1">
        <v>2507674.79</v>
      </c>
      <c r="E65" s="2">
        <f t="shared" si="0"/>
        <v>4.8381536746238138</v>
      </c>
      <c r="F65" s="1">
        <f t="shared" si="1"/>
        <v>4.9977409787444387</v>
      </c>
    </row>
    <row r="66" spans="1:6" x14ac:dyDescent="0.25">
      <c r="A66" t="s">
        <v>70</v>
      </c>
      <c r="B66">
        <v>211226</v>
      </c>
      <c r="C66" s="1">
        <v>1692016.44</v>
      </c>
      <c r="D66" s="1">
        <v>34460047.490000002</v>
      </c>
      <c r="E66" s="2">
        <f t="shared" si="0"/>
        <v>4.9100815676211944</v>
      </c>
      <c r="F66" s="1">
        <f t="shared" si="1"/>
        <v>8.0104553416719533</v>
      </c>
    </row>
    <row r="67" spans="1:6" x14ac:dyDescent="0.25">
      <c r="A67" t="s">
        <v>71</v>
      </c>
      <c r="B67">
        <v>10776</v>
      </c>
      <c r="C67" s="1">
        <v>31717.83</v>
      </c>
      <c r="D67" s="1">
        <v>644715.72</v>
      </c>
      <c r="E67" s="2">
        <f t="shared" ref="E67:E100" si="2">C67/D67*100</f>
        <v>4.9196613353867038</v>
      </c>
      <c r="F67" s="1">
        <f t="shared" si="1"/>
        <v>2.9433769487750556</v>
      </c>
    </row>
    <row r="68" spans="1:6" x14ac:dyDescent="0.25">
      <c r="A68" t="s">
        <v>72</v>
      </c>
      <c r="B68">
        <v>11341</v>
      </c>
      <c r="C68" s="1">
        <v>19724.16</v>
      </c>
      <c r="D68" s="1">
        <v>399807.53</v>
      </c>
      <c r="E68" s="2">
        <f t="shared" si="2"/>
        <v>4.9334138354022494</v>
      </c>
      <c r="F68" s="1">
        <f t="shared" ref="F68:F100" si="3">C68/B68</f>
        <v>1.739190547570761</v>
      </c>
    </row>
    <row r="69" spans="1:6" x14ac:dyDescent="0.25">
      <c r="A69" t="s">
        <v>73</v>
      </c>
      <c r="B69">
        <v>21704</v>
      </c>
      <c r="C69" s="1">
        <v>101337.46</v>
      </c>
      <c r="D69" s="1">
        <v>2047974.45</v>
      </c>
      <c r="E69" s="2">
        <f t="shared" si="2"/>
        <v>4.948179895506021</v>
      </c>
      <c r="F69" s="1">
        <f t="shared" si="3"/>
        <v>4.6690683744931816</v>
      </c>
    </row>
    <row r="70" spans="1:6" x14ac:dyDescent="0.25">
      <c r="A70" t="s">
        <v>74</v>
      </c>
      <c r="B70">
        <v>10350</v>
      </c>
      <c r="C70" s="1">
        <v>37155.68</v>
      </c>
      <c r="D70" s="1">
        <v>746083.11</v>
      </c>
      <c r="E70" s="2">
        <f t="shared" si="2"/>
        <v>4.9800993350459306</v>
      </c>
      <c r="F70" s="1">
        <f t="shared" si="3"/>
        <v>3.5899207729468601</v>
      </c>
    </row>
    <row r="71" spans="1:6" x14ac:dyDescent="0.25">
      <c r="A71" t="s">
        <v>75</v>
      </c>
      <c r="B71">
        <v>35862</v>
      </c>
      <c r="C71" s="1">
        <v>244011.46</v>
      </c>
      <c r="D71" s="1">
        <v>4881120.76</v>
      </c>
      <c r="E71" s="2">
        <f t="shared" si="2"/>
        <v>4.9990867261395104</v>
      </c>
      <c r="F71" s="1">
        <f t="shared" si="3"/>
        <v>6.804178796497685</v>
      </c>
    </row>
    <row r="72" spans="1:6" x14ac:dyDescent="0.25">
      <c r="A72" t="s">
        <v>76</v>
      </c>
      <c r="B72">
        <v>33309</v>
      </c>
      <c r="C72" s="1">
        <v>139313.35999999999</v>
      </c>
      <c r="D72" s="1">
        <v>2779364.89</v>
      </c>
      <c r="E72" s="2">
        <f t="shared" si="2"/>
        <v>5.0124170633816991</v>
      </c>
      <c r="F72" s="1">
        <f t="shared" si="3"/>
        <v>4.1824539914137313</v>
      </c>
    </row>
    <row r="73" spans="1:6" x14ac:dyDescent="0.25">
      <c r="A73" t="s">
        <v>77</v>
      </c>
      <c r="B73">
        <v>131090</v>
      </c>
      <c r="C73" s="1">
        <v>1169665.99</v>
      </c>
      <c r="D73" s="1">
        <v>22967283.289999999</v>
      </c>
      <c r="E73" s="2">
        <f t="shared" si="2"/>
        <v>5.092748564255638</v>
      </c>
      <c r="F73" s="1">
        <f t="shared" si="3"/>
        <v>8.9226179723853836</v>
      </c>
    </row>
    <row r="74" spans="1:6" x14ac:dyDescent="0.25">
      <c r="A74" t="s">
        <v>78</v>
      </c>
      <c r="B74">
        <v>20260</v>
      </c>
      <c r="C74" s="1">
        <v>126461.18</v>
      </c>
      <c r="D74" s="1">
        <v>2432925.21</v>
      </c>
      <c r="E74" s="2">
        <f t="shared" si="2"/>
        <v>5.1979065973836489</v>
      </c>
      <c r="F74" s="1">
        <f t="shared" si="3"/>
        <v>6.2419141164856855</v>
      </c>
    </row>
    <row r="75" spans="1:6" x14ac:dyDescent="0.25">
      <c r="A75" t="s">
        <v>79</v>
      </c>
      <c r="B75">
        <v>20638</v>
      </c>
      <c r="C75" s="1">
        <v>83683.67</v>
      </c>
      <c r="D75" s="1">
        <v>1598830.32</v>
      </c>
      <c r="E75" s="2">
        <f t="shared" si="2"/>
        <v>5.2340557314424707</v>
      </c>
      <c r="F75" s="1">
        <f t="shared" si="3"/>
        <v>4.0548342862680489</v>
      </c>
    </row>
    <row r="76" spans="1:6" x14ac:dyDescent="0.25">
      <c r="A76" t="s">
        <v>80</v>
      </c>
      <c r="B76">
        <v>15059</v>
      </c>
      <c r="C76" s="1">
        <v>32333.08</v>
      </c>
      <c r="D76" s="1">
        <v>617724.37</v>
      </c>
      <c r="E76" s="2">
        <f t="shared" si="2"/>
        <v>5.23422444868089</v>
      </c>
      <c r="F76" s="1">
        <f t="shared" si="3"/>
        <v>2.147093432498838</v>
      </c>
    </row>
    <row r="77" spans="1:6" x14ac:dyDescent="0.25">
      <c r="A77" t="s">
        <v>81</v>
      </c>
      <c r="B77">
        <v>38013</v>
      </c>
      <c r="C77" s="1">
        <v>229378.44</v>
      </c>
      <c r="D77" s="1">
        <v>4323049.3</v>
      </c>
      <c r="E77" s="2">
        <f t="shared" si="2"/>
        <v>5.3059408783517688</v>
      </c>
      <c r="F77" s="1">
        <f t="shared" si="3"/>
        <v>6.03421040170468</v>
      </c>
    </row>
    <row r="78" spans="1:6" x14ac:dyDescent="0.25">
      <c r="A78" t="s">
        <v>82</v>
      </c>
      <c r="B78">
        <v>44151</v>
      </c>
      <c r="C78" s="1">
        <v>424916.52</v>
      </c>
      <c r="D78" s="1">
        <v>7998958.9199999999</v>
      </c>
      <c r="E78" s="2">
        <f t="shared" si="2"/>
        <v>5.3121477963534787</v>
      </c>
      <c r="F78" s="1">
        <f t="shared" si="3"/>
        <v>9.6241652510701918</v>
      </c>
    </row>
    <row r="79" spans="1:6" x14ac:dyDescent="0.25">
      <c r="A79" t="s">
        <v>83</v>
      </c>
      <c r="B79">
        <v>10680</v>
      </c>
      <c r="C79" s="1">
        <v>37829.24</v>
      </c>
      <c r="D79" s="1">
        <v>702357.9</v>
      </c>
      <c r="E79" s="2">
        <f t="shared" si="2"/>
        <v>5.3860346697887209</v>
      </c>
      <c r="F79" s="1">
        <f t="shared" si="3"/>
        <v>3.5420636704119848</v>
      </c>
    </row>
    <row r="80" spans="1:6" x14ac:dyDescent="0.25">
      <c r="A80" t="s">
        <v>84</v>
      </c>
      <c r="B80">
        <v>40325</v>
      </c>
      <c r="C80" s="1">
        <v>284021.71999999997</v>
      </c>
      <c r="D80" s="1">
        <v>5168751.09</v>
      </c>
      <c r="E80" s="2">
        <f t="shared" si="2"/>
        <v>5.4949777045657653</v>
      </c>
      <c r="F80" s="1">
        <f t="shared" si="3"/>
        <v>7.0433160570365771</v>
      </c>
    </row>
    <row r="81" spans="1:6" x14ac:dyDescent="0.25">
      <c r="A81" t="s">
        <v>85</v>
      </c>
      <c r="B81">
        <v>102172</v>
      </c>
      <c r="C81" s="1">
        <v>741883.15</v>
      </c>
      <c r="D81" s="1">
        <v>13242016.16</v>
      </c>
      <c r="E81" s="2">
        <f t="shared" si="2"/>
        <v>5.602493918116469</v>
      </c>
      <c r="F81" s="1">
        <f t="shared" si="3"/>
        <v>7.2611199741612182</v>
      </c>
    </row>
    <row r="82" spans="1:6" x14ac:dyDescent="0.25">
      <c r="A82" t="s">
        <v>86</v>
      </c>
      <c r="B82">
        <v>93158</v>
      </c>
      <c r="C82" s="1">
        <v>795456.35</v>
      </c>
      <c r="D82" s="1">
        <v>14177698.300000001</v>
      </c>
      <c r="E82" s="2">
        <f t="shared" si="2"/>
        <v>5.6106169927455705</v>
      </c>
      <c r="F82" s="1">
        <f t="shared" si="3"/>
        <v>8.5387873290538661</v>
      </c>
    </row>
    <row r="83" spans="1:6" x14ac:dyDescent="0.25">
      <c r="A83" t="s">
        <v>87</v>
      </c>
      <c r="B83">
        <v>9670</v>
      </c>
      <c r="C83" s="1">
        <v>27261.48</v>
      </c>
      <c r="D83" s="1">
        <v>482178.34</v>
      </c>
      <c r="E83" s="2">
        <f t="shared" si="2"/>
        <v>5.6538168014763999</v>
      </c>
      <c r="F83" s="1">
        <f t="shared" si="3"/>
        <v>2.8191809720785934</v>
      </c>
    </row>
    <row r="84" spans="1:6" x14ac:dyDescent="0.25">
      <c r="A84" t="s">
        <v>88</v>
      </c>
      <c r="B84">
        <v>21056</v>
      </c>
      <c r="C84" s="1">
        <v>110873.07</v>
      </c>
      <c r="D84" s="1">
        <v>1956732.65</v>
      </c>
      <c r="E84" s="2">
        <f t="shared" si="2"/>
        <v>5.6662349861643087</v>
      </c>
      <c r="F84" s="1">
        <f t="shared" si="3"/>
        <v>5.2656283244680857</v>
      </c>
    </row>
    <row r="85" spans="1:6" x14ac:dyDescent="0.25">
      <c r="A85" t="s">
        <v>89</v>
      </c>
      <c r="B85">
        <v>430640</v>
      </c>
      <c r="C85" s="1">
        <v>4998921</v>
      </c>
      <c r="D85" s="1">
        <v>86397461.790000007</v>
      </c>
      <c r="E85" s="2">
        <f t="shared" si="2"/>
        <v>5.7859581710288106</v>
      </c>
      <c r="F85" s="1">
        <f t="shared" si="3"/>
        <v>11.608120471855843</v>
      </c>
    </row>
    <row r="86" spans="1:6" x14ac:dyDescent="0.25">
      <c r="A86" t="s">
        <v>90</v>
      </c>
      <c r="B86">
        <v>49116</v>
      </c>
      <c r="C86" s="1">
        <v>281625.43</v>
      </c>
      <c r="D86" s="1">
        <v>4851700.7300000004</v>
      </c>
      <c r="E86" s="2">
        <f t="shared" si="2"/>
        <v>5.8046743950754767</v>
      </c>
      <c r="F86" s="1">
        <f t="shared" si="3"/>
        <v>5.733883663164753</v>
      </c>
    </row>
    <row r="87" spans="1:6" x14ac:dyDescent="0.25">
      <c r="A87" t="s">
        <v>91</v>
      </c>
      <c r="B87">
        <v>89542</v>
      </c>
      <c r="C87" s="1">
        <v>712537.51</v>
      </c>
      <c r="D87" s="1">
        <v>12267027.18</v>
      </c>
      <c r="E87" s="2">
        <f t="shared" si="2"/>
        <v>5.8085589894323526</v>
      </c>
      <c r="F87" s="1">
        <f t="shared" si="3"/>
        <v>7.9575786781622035</v>
      </c>
    </row>
    <row r="88" spans="1:6" x14ac:dyDescent="0.25">
      <c r="A88" t="s">
        <v>92</v>
      </c>
      <c r="B88">
        <v>12167</v>
      </c>
      <c r="C88" s="1">
        <v>68370.03</v>
      </c>
      <c r="D88" s="1">
        <v>1163855.3500000001</v>
      </c>
      <c r="E88" s="2">
        <f t="shared" si="2"/>
        <v>5.8744439332602623</v>
      </c>
      <c r="F88" s="1">
        <f t="shared" si="3"/>
        <v>5.6193005671077501</v>
      </c>
    </row>
    <row r="89" spans="1:6" x14ac:dyDescent="0.25">
      <c r="A89" t="s">
        <v>93</v>
      </c>
      <c r="B89">
        <v>130882</v>
      </c>
      <c r="C89" s="1">
        <v>1471673.94</v>
      </c>
      <c r="D89" s="1">
        <v>24200402.25</v>
      </c>
      <c r="E89" s="2">
        <f t="shared" si="2"/>
        <v>6.0811961916872681</v>
      </c>
      <c r="F89" s="1">
        <f t="shared" si="3"/>
        <v>11.244280649745573</v>
      </c>
    </row>
    <row r="90" spans="1:6" x14ac:dyDescent="0.25">
      <c r="A90" t="s">
        <v>94</v>
      </c>
      <c r="B90">
        <v>42745</v>
      </c>
      <c r="C90" s="1">
        <v>273652.39</v>
      </c>
      <c r="D90" s="1">
        <v>4387996.29</v>
      </c>
      <c r="E90" s="2">
        <f t="shared" si="2"/>
        <v>6.2363860840912428</v>
      </c>
      <c r="F90" s="1">
        <f t="shared" si="3"/>
        <v>6.4019742659960235</v>
      </c>
    </row>
    <row r="91" spans="1:6" x14ac:dyDescent="0.25">
      <c r="A91" t="s">
        <v>95</v>
      </c>
      <c r="B91">
        <v>165224</v>
      </c>
      <c r="C91" s="1">
        <v>1741874.47</v>
      </c>
      <c r="D91" s="1">
        <v>27902848.670000002</v>
      </c>
      <c r="E91" s="2">
        <f t="shared" si="2"/>
        <v>6.2426402787783886</v>
      </c>
      <c r="F91" s="1">
        <f t="shared" si="3"/>
        <v>10.542502723575268</v>
      </c>
    </row>
    <row r="92" spans="1:6" x14ac:dyDescent="0.25">
      <c r="A92" t="s">
        <v>96</v>
      </c>
      <c r="B92">
        <v>33704</v>
      </c>
      <c r="C92" s="1">
        <v>129679.32</v>
      </c>
      <c r="D92" s="1">
        <v>2076294.71</v>
      </c>
      <c r="E92" s="2">
        <f t="shared" si="2"/>
        <v>6.2457087317821083</v>
      </c>
      <c r="F92" s="1">
        <f t="shared" si="3"/>
        <v>3.8475943508188939</v>
      </c>
    </row>
    <row r="93" spans="1:6" x14ac:dyDescent="0.25">
      <c r="A93" t="s">
        <v>97</v>
      </c>
      <c r="B93">
        <v>10866</v>
      </c>
      <c r="C93" s="1">
        <v>65038.49</v>
      </c>
      <c r="D93" s="1">
        <v>1024059.83</v>
      </c>
      <c r="E93" s="2">
        <f t="shared" si="2"/>
        <v>6.3510439619528878</v>
      </c>
      <c r="F93" s="1">
        <f t="shared" si="3"/>
        <v>5.985504325418737</v>
      </c>
    </row>
    <row r="94" spans="1:6" x14ac:dyDescent="0.25">
      <c r="A94" t="s">
        <v>98</v>
      </c>
      <c r="B94">
        <v>93653</v>
      </c>
      <c r="C94" s="1">
        <v>807669.51</v>
      </c>
      <c r="D94" s="1">
        <v>11879190.380000001</v>
      </c>
      <c r="E94" s="2">
        <f t="shared" si="2"/>
        <v>6.7990282516206282</v>
      </c>
      <c r="F94" s="1">
        <f t="shared" si="3"/>
        <v>8.6240644720404038</v>
      </c>
    </row>
    <row r="95" spans="1:6" x14ac:dyDescent="0.25">
      <c r="A95" t="s">
        <v>99</v>
      </c>
      <c r="B95">
        <v>16667</v>
      </c>
      <c r="C95" s="1">
        <v>355642.88</v>
      </c>
      <c r="D95" s="1">
        <v>5142111.9000000004</v>
      </c>
      <c r="E95" s="2">
        <f t="shared" si="2"/>
        <v>6.9162804488949376</v>
      </c>
      <c r="F95" s="1">
        <f t="shared" si="3"/>
        <v>21.338146037079259</v>
      </c>
    </row>
    <row r="96" spans="1:6" x14ac:dyDescent="0.25">
      <c r="A96" t="s">
        <v>100</v>
      </c>
      <c r="B96">
        <v>6403</v>
      </c>
      <c r="C96" s="1">
        <v>7228.42</v>
      </c>
      <c r="D96" s="1">
        <v>98824.4</v>
      </c>
      <c r="E96" s="2">
        <f t="shared" si="2"/>
        <v>7.3144081825945824</v>
      </c>
      <c r="F96" s="1">
        <f t="shared" si="3"/>
        <v>1.1289114477588631</v>
      </c>
    </row>
    <row r="97" spans="1:6" x14ac:dyDescent="0.25">
      <c r="A97" t="s">
        <v>101</v>
      </c>
      <c r="B97">
        <v>20816</v>
      </c>
      <c r="C97" s="1">
        <v>237758.59</v>
      </c>
      <c r="D97" s="1">
        <v>3183557.2</v>
      </c>
      <c r="E97" s="2">
        <f t="shared" si="2"/>
        <v>7.4683310229198954</v>
      </c>
      <c r="F97" s="1">
        <f t="shared" si="3"/>
        <v>11.421915353574173</v>
      </c>
    </row>
    <row r="98" spans="1:6" x14ac:dyDescent="0.25">
      <c r="A98" t="s">
        <v>102</v>
      </c>
      <c r="B98">
        <v>6119</v>
      </c>
      <c r="C98" s="1">
        <v>18226.759999999998</v>
      </c>
      <c r="D98" s="1">
        <v>241821.88</v>
      </c>
      <c r="E98" s="2">
        <f t="shared" si="2"/>
        <v>7.5372666857109856</v>
      </c>
      <c r="F98" s="1">
        <f t="shared" si="3"/>
        <v>2.9787154763850299</v>
      </c>
    </row>
    <row r="99" spans="1:6" x14ac:dyDescent="0.25">
      <c r="A99" t="s">
        <v>103</v>
      </c>
      <c r="B99">
        <v>66135</v>
      </c>
      <c r="C99" s="1">
        <v>623742.77</v>
      </c>
      <c r="D99" s="1">
        <v>7898228.4199999999</v>
      </c>
      <c r="E99" s="2">
        <f t="shared" si="2"/>
        <v>7.8972490643667665</v>
      </c>
      <c r="F99" s="1">
        <f t="shared" si="3"/>
        <v>9.4313566190368192</v>
      </c>
    </row>
    <row r="100" spans="1:6" x14ac:dyDescent="0.25">
      <c r="A100" t="s">
        <v>104</v>
      </c>
      <c r="B100">
        <v>7598</v>
      </c>
      <c r="C100" s="1">
        <v>27787.5</v>
      </c>
      <c r="D100" s="1">
        <v>339968.23</v>
      </c>
      <c r="E100" s="2">
        <f t="shared" si="2"/>
        <v>8.1735578645098705</v>
      </c>
      <c r="F100" s="1">
        <f t="shared" si="3"/>
        <v>3.6572124243221902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data-1777486098589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2026-04-29T18:08:56Z</dcterms:created>
  <dcterms:modified xsi:type="dcterms:W3CDTF">2026-04-29T20:45:23Z</dcterms:modified>
</cp:coreProperties>
</file>
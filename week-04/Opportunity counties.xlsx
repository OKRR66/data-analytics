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nurkaraer\Documents\DataAnalytics\week-04\"/>
    </mc:Choice>
  </mc:AlternateContent>
  <xr:revisionPtr revIDLastSave="0" documentId="13_ncr:1_{80E825EE-A02A-4C86-8DA1-B7CA061D39F8}" xr6:coauthVersionLast="47" xr6:coauthVersionMax="47" xr10:uidLastSave="{00000000-0000-0000-0000-000000000000}"/>
  <bookViews>
    <workbookView xWindow="-120" yWindow="-120" windowWidth="29040" windowHeight="15720" activeTab="1" xr2:uid="{DFFEABD4-FC9C-452B-A70A-6717FFEF8536}"/>
  </bookViews>
  <sheets>
    <sheet name="Sheet1" sheetId="2" r:id="rId1"/>
    <sheet name="data-1777486098589" sheetId="1" r:id="rId2"/>
    <sheet name="Sheet2" sheetId="3" r:id="rId3"/>
  </sheets>
  <calcPr calcId="191029"/>
  <pivotCaches>
    <pivotCache cacheId="43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3" l="1"/>
  <c r="E7" i="3"/>
  <c r="F6" i="3"/>
  <c r="E6" i="3"/>
  <c r="F5" i="3"/>
  <c r="E5" i="3"/>
  <c r="F4" i="3"/>
  <c r="E4" i="3"/>
  <c r="F3" i="3"/>
  <c r="E3" i="3"/>
  <c r="F2" i="3"/>
  <c r="E2" i="3"/>
  <c r="I15" i="2"/>
  <c r="I14" i="2"/>
  <c r="I13" i="2"/>
  <c r="K7" i="2"/>
  <c r="F9" i="2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Q24" i="1"/>
  <c r="P24" i="1"/>
  <c r="Q23" i="1"/>
  <c r="P23" i="1"/>
  <c r="Q22" i="1"/>
  <c r="P22" i="1"/>
  <c r="Q21" i="1"/>
  <c r="P21" i="1"/>
  <c r="Q20" i="1"/>
  <c r="P20" i="1"/>
  <c r="Q19" i="1"/>
  <c r="P19" i="1"/>
  <c r="Q18" i="1"/>
  <c r="P18" i="1"/>
  <c r="Q17" i="1"/>
  <c r="P17" i="1"/>
  <c r="Q16" i="1"/>
  <c r="P16" i="1"/>
  <c r="Q15" i="1"/>
  <c r="P15" i="1"/>
  <c r="Q14" i="1"/>
  <c r="P14" i="1"/>
  <c r="Q13" i="1"/>
  <c r="P13" i="1"/>
  <c r="Q12" i="1"/>
  <c r="P12" i="1"/>
  <c r="Q11" i="1"/>
  <c r="P11" i="1"/>
  <c r="Q10" i="1"/>
  <c r="P10" i="1"/>
  <c r="Q9" i="1"/>
  <c r="P9" i="1"/>
  <c r="Q8" i="1"/>
  <c r="P8" i="1"/>
  <c r="Q7" i="1"/>
  <c r="P7" i="1"/>
  <c r="Q6" i="1"/>
  <c r="P6" i="1"/>
  <c r="Q5" i="1"/>
  <c r="P5" i="1"/>
  <c r="Q4" i="1"/>
  <c r="P4" i="1"/>
  <c r="Q3" i="1"/>
  <c r="P3" i="1"/>
  <c r="Q2" i="1"/>
  <c r="P2" i="1"/>
  <c r="F89" i="1"/>
  <c r="F99" i="1"/>
  <c r="F92" i="1"/>
  <c r="F97" i="1"/>
  <c r="F94" i="1"/>
  <c r="F91" i="1"/>
  <c r="F95" i="1"/>
  <c r="F84" i="1"/>
  <c r="F87" i="1"/>
  <c r="F52" i="1"/>
  <c r="F70" i="1"/>
  <c r="F83" i="1"/>
  <c r="F86" i="1"/>
  <c r="F77" i="1"/>
  <c r="F75" i="1"/>
  <c r="F76" i="1"/>
  <c r="F88" i="1"/>
  <c r="F59" i="1"/>
  <c r="F85" i="1"/>
  <c r="F42" i="1"/>
  <c r="F74" i="1"/>
  <c r="F80" i="1"/>
  <c r="F48" i="1"/>
  <c r="F64" i="1"/>
  <c r="F38" i="1"/>
  <c r="F45" i="1"/>
  <c r="F27" i="1"/>
  <c r="F65" i="1"/>
  <c r="F49" i="1"/>
  <c r="F90" i="1"/>
  <c r="F60" i="1"/>
  <c r="F40" i="1"/>
  <c r="F46" i="1"/>
  <c r="F37" i="1"/>
  <c r="F33" i="1"/>
  <c r="F50" i="1"/>
  <c r="F96" i="1"/>
  <c r="F67" i="1"/>
  <c r="F43" i="1"/>
  <c r="F78" i="1"/>
  <c r="F57" i="1"/>
  <c r="F55" i="1"/>
  <c r="F21" i="1"/>
  <c r="F79" i="1"/>
  <c r="F20" i="1"/>
  <c r="F56" i="1"/>
  <c r="F72" i="1"/>
  <c r="F30" i="1"/>
  <c r="F35" i="1"/>
  <c r="F29" i="1"/>
  <c r="F34" i="1"/>
  <c r="F63" i="1"/>
  <c r="F66" i="1"/>
  <c r="F44" i="1"/>
  <c r="F32" i="1"/>
  <c r="F51" i="1"/>
  <c r="F54" i="1"/>
  <c r="F47" i="1"/>
  <c r="F53" i="1"/>
  <c r="F58" i="1"/>
  <c r="F25" i="1"/>
  <c r="F26" i="1"/>
  <c r="F4" i="1"/>
  <c r="F69" i="1"/>
  <c r="F81" i="1"/>
  <c r="F31" i="1"/>
  <c r="F62" i="1"/>
  <c r="F17" i="1"/>
  <c r="F22" i="1"/>
  <c r="F6" i="1"/>
  <c r="F24" i="1"/>
  <c r="F36" i="1"/>
  <c r="F68" i="1"/>
  <c r="F19" i="1"/>
  <c r="F12" i="1"/>
  <c r="F61" i="1"/>
  <c r="F14" i="1"/>
  <c r="F9" i="1"/>
  <c r="F8" i="1"/>
  <c r="F73" i="1"/>
  <c r="F28" i="1"/>
  <c r="F2" i="1"/>
  <c r="F15" i="1"/>
  <c r="F10" i="1"/>
  <c r="F39" i="1"/>
  <c r="F5" i="1"/>
  <c r="F16" i="1"/>
  <c r="F3" i="1"/>
  <c r="F23" i="1"/>
  <c r="F41" i="1"/>
  <c r="F7" i="1"/>
  <c r="F13" i="1"/>
  <c r="F93" i="1"/>
  <c r="F18" i="1"/>
  <c r="F82" i="1"/>
  <c r="F11" i="1"/>
  <c r="F71" i="1"/>
  <c r="F100" i="1"/>
  <c r="F98" i="1"/>
  <c r="E100" i="1"/>
  <c r="E89" i="1"/>
  <c r="E99" i="1"/>
  <c r="E92" i="1"/>
  <c r="E97" i="1"/>
  <c r="E94" i="1"/>
  <c r="E91" i="1"/>
  <c r="E95" i="1"/>
  <c r="E84" i="1"/>
  <c r="E87" i="1"/>
  <c r="E52" i="1"/>
  <c r="E70" i="1"/>
  <c r="E83" i="1"/>
  <c r="E86" i="1"/>
  <c r="E77" i="1"/>
  <c r="E75" i="1"/>
  <c r="E76" i="1"/>
  <c r="E88" i="1"/>
  <c r="E59" i="1"/>
  <c r="E85" i="1"/>
  <c r="E42" i="1"/>
  <c r="E74" i="1"/>
  <c r="E80" i="1"/>
  <c r="E48" i="1"/>
  <c r="E64" i="1"/>
  <c r="E38" i="1"/>
  <c r="E45" i="1"/>
  <c r="E27" i="1"/>
  <c r="E65" i="1"/>
  <c r="E49" i="1"/>
  <c r="E90" i="1"/>
  <c r="E60" i="1"/>
  <c r="E40" i="1"/>
  <c r="E46" i="1"/>
  <c r="E37" i="1"/>
  <c r="E33" i="1"/>
  <c r="E50" i="1"/>
  <c r="E96" i="1"/>
  <c r="E67" i="1"/>
  <c r="E43" i="1"/>
  <c r="E78" i="1"/>
  <c r="E57" i="1"/>
  <c r="E55" i="1"/>
  <c r="E21" i="1"/>
  <c r="E79" i="1"/>
  <c r="E20" i="1"/>
  <c r="E56" i="1"/>
  <c r="E72" i="1"/>
  <c r="E30" i="1"/>
  <c r="E35" i="1"/>
  <c r="E29" i="1"/>
  <c r="E34" i="1"/>
  <c r="E63" i="1"/>
  <c r="E66" i="1"/>
  <c r="E44" i="1"/>
  <c r="E32" i="1"/>
  <c r="E51" i="1"/>
  <c r="E54" i="1"/>
  <c r="E47" i="1"/>
  <c r="E53" i="1"/>
  <c r="E58" i="1"/>
  <c r="E25" i="1"/>
  <c r="E26" i="1"/>
  <c r="E4" i="1"/>
  <c r="E69" i="1"/>
  <c r="E81" i="1"/>
  <c r="E31" i="1"/>
  <c r="E62" i="1"/>
  <c r="E17" i="1"/>
  <c r="E22" i="1"/>
  <c r="E6" i="1"/>
  <c r="E24" i="1"/>
  <c r="E36" i="1"/>
  <c r="E68" i="1"/>
  <c r="E19" i="1"/>
  <c r="E12" i="1"/>
  <c r="E61" i="1"/>
  <c r="E14" i="1"/>
  <c r="E9" i="1"/>
  <c r="E8" i="1"/>
  <c r="E73" i="1"/>
  <c r="E28" i="1"/>
  <c r="E2" i="1"/>
  <c r="E15" i="1"/>
  <c r="E10" i="1"/>
  <c r="E39" i="1"/>
  <c r="E5" i="1"/>
  <c r="E16" i="1"/>
  <c r="E3" i="1"/>
  <c r="E23" i="1"/>
  <c r="E41" i="1"/>
  <c r="E7" i="1"/>
  <c r="E13" i="1"/>
  <c r="E93" i="1"/>
  <c r="E18" i="1"/>
  <c r="E82" i="1"/>
  <c r="E11" i="1"/>
  <c r="E71" i="1"/>
  <c r="E98" i="1"/>
  <c r="J2" i="1" l="1"/>
  <c r="H2" i="1"/>
</calcChain>
</file>

<file path=xl/sharedStrings.xml><?xml version="1.0" encoding="utf-8"?>
<sst xmlns="http://schemas.openxmlformats.org/spreadsheetml/2006/main" count="310" uniqueCount="113">
  <si>
    <t>county</t>
  </si>
  <si>
    <t>population</t>
  </si>
  <si>
    <t>bacardi_revenue</t>
  </si>
  <si>
    <t>total_market_revenue</t>
  </si>
  <si>
    <t>bacardi_market_share_pct</t>
  </si>
  <si>
    <t>bacardi_revenue_per_capita</t>
  </si>
  <si>
    <t>Taylor</t>
  </si>
  <si>
    <t>Fremont</t>
  </si>
  <si>
    <t>Pocahontas</t>
  </si>
  <si>
    <t>Adams</t>
  </si>
  <si>
    <t>Guthrie</t>
  </si>
  <si>
    <t>Ringgold</t>
  </si>
  <si>
    <t>Van Buren</t>
  </si>
  <si>
    <t>Louisa</t>
  </si>
  <si>
    <t>Keokuk</t>
  </si>
  <si>
    <t>Lucas</t>
  </si>
  <si>
    <t>Monroe</t>
  </si>
  <si>
    <t>O'Brien</t>
  </si>
  <si>
    <t>Cherokee</t>
  </si>
  <si>
    <t>Chickasaw</t>
  </si>
  <si>
    <t>Grundy</t>
  </si>
  <si>
    <t>Montgomery</t>
  </si>
  <si>
    <t>Madison</t>
  </si>
  <si>
    <t>Clarke</t>
  </si>
  <si>
    <t>Osceola</t>
  </si>
  <si>
    <t>Hamilton</t>
  </si>
  <si>
    <t>Butler</t>
  </si>
  <si>
    <t>Buchanan</t>
  </si>
  <si>
    <t>Cedar</t>
  </si>
  <si>
    <t>Adair</t>
  </si>
  <si>
    <t>Page</t>
  </si>
  <si>
    <t>Benton</t>
  </si>
  <si>
    <t>Poweshiek</t>
  </si>
  <si>
    <t>Fayette</t>
  </si>
  <si>
    <t>Warren</t>
  </si>
  <si>
    <t>Humboldt</t>
  </si>
  <si>
    <t>Cass</t>
  </si>
  <si>
    <t>Decatur</t>
  </si>
  <si>
    <t>Lyon</t>
  </si>
  <si>
    <t>Jackson</t>
  </si>
  <si>
    <t>Henry</t>
  </si>
  <si>
    <t>Crawford</t>
  </si>
  <si>
    <t>Jasper</t>
  </si>
  <si>
    <t>Union</t>
  </si>
  <si>
    <t>Davis</t>
  </si>
  <si>
    <t>Tama</t>
  </si>
  <si>
    <t>Floyd</t>
  </si>
  <si>
    <t>Ida</t>
  </si>
  <si>
    <t>Howard</t>
  </si>
  <si>
    <t>Jefferson</t>
  </si>
  <si>
    <t>Wapello</t>
  </si>
  <si>
    <t>Greene</t>
  </si>
  <si>
    <t>Marshall</t>
  </si>
  <si>
    <t>Appanoose</t>
  </si>
  <si>
    <t>Harrison</t>
  </si>
  <si>
    <t>Boone</t>
  </si>
  <si>
    <t>Clay</t>
  </si>
  <si>
    <t>Kossuth</t>
  </si>
  <si>
    <t>Plymouth</t>
  </si>
  <si>
    <t>Emmet</t>
  </si>
  <si>
    <t>Monona</t>
  </si>
  <si>
    <t>Mahaska</t>
  </si>
  <si>
    <t>Iowa</t>
  </si>
  <si>
    <t>Allamakee</t>
  </si>
  <si>
    <t>Clayton</t>
  </si>
  <si>
    <t>Delaware</t>
  </si>
  <si>
    <t>Wright</t>
  </si>
  <si>
    <t>Palo Alto</t>
  </si>
  <si>
    <t>Hardin</t>
  </si>
  <si>
    <t>Bremer</t>
  </si>
  <si>
    <t>Linn</t>
  </si>
  <si>
    <t>Mitchell</t>
  </si>
  <si>
    <t>Hancock</t>
  </si>
  <si>
    <t>Washington</t>
  </si>
  <si>
    <t>Sac</t>
  </si>
  <si>
    <t>Lee</t>
  </si>
  <si>
    <t>Marion</t>
  </si>
  <si>
    <t>Black Hawk</t>
  </si>
  <si>
    <t>Buena Vista</t>
  </si>
  <si>
    <t>Jones</t>
  </si>
  <si>
    <t>Mills</t>
  </si>
  <si>
    <t>Webster</t>
  </si>
  <si>
    <t>Cerro Gordo</t>
  </si>
  <si>
    <t>Franklin</t>
  </si>
  <si>
    <t>Des Moines</t>
  </si>
  <si>
    <t>Woodbury</t>
  </si>
  <si>
    <t>Pottawattamie</t>
  </si>
  <si>
    <t>Calhoun</t>
  </si>
  <si>
    <t>Winneshiek</t>
  </si>
  <si>
    <t>Polk</t>
  </si>
  <si>
    <t>Clinton</t>
  </si>
  <si>
    <t>Story</t>
  </si>
  <si>
    <t>Shelby</t>
  </si>
  <si>
    <t>Johnson</t>
  </si>
  <si>
    <t>Muscatine</t>
  </si>
  <si>
    <t>Scott</t>
  </si>
  <si>
    <t>Sioux</t>
  </si>
  <si>
    <t>Winnebago</t>
  </si>
  <si>
    <t>Dubuque</t>
  </si>
  <si>
    <t>Dickinson</t>
  </si>
  <si>
    <t>Wayne</t>
  </si>
  <si>
    <t>Carroll</t>
  </si>
  <si>
    <t>Audubon</t>
  </si>
  <si>
    <t>Dallas</t>
  </si>
  <si>
    <t>Worth</t>
  </si>
  <si>
    <t>AVG MARKET SHARE</t>
  </si>
  <si>
    <t>AVG Revenue pc</t>
  </si>
  <si>
    <t>Row Labels</t>
  </si>
  <si>
    <t>Grand Total</t>
  </si>
  <si>
    <t>Sum of bacardi_revenue</t>
  </si>
  <si>
    <t>Sum of bacardi_revenue_per_capita</t>
  </si>
  <si>
    <t>Benchmark</t>
  </si>
  <si>
    <t>Potential Increase in Revenue if it hits the benchmark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</si>
</sst>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6" tint="-0.249977111117893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4">
    <xf numFmtId="0" fontId="0" fillId="0" borderId="0" xfId="0"/>
    <xf numFmtId="8" fontId="0" fillId="0" borderId="0" xfId="0" applyNumberFormat="1"/>
    <xf numFmtId="2" fontId="0" fillId="0" borderId="0" xfId="0" applyNumberFormat="1"/>
    <xf numFmtId="0" fontId="0" fillId="34" borderId="0" xfId="0" applyFill="1"/>
    <xf numFmtId="0" fontId="0" fillId="35" borderId="0" xfId="0" applyFill="1"/>
    <xf numFmtId="8" fontId="0" fillId="35" borderId="0" xfId="0" applyNumberFormat="1" applyFill="1"/>
    <xf numFmtId="2" fontId="0" fillId="35" borderId="0" xfId="0" applyNumberFormat="1" applyFill="1"/>
    <xf numFmtId="0" fontId="0" fillId="35" borderId="10" xfId="0" applyFill="1" applyBorder="1"/>
    <xf numFmtId="8" fontId="0" fillId="35" borderId="10" xfId="0" applyNumberFormat="1" applyFill="1" applyBorder="1"/>
    <xf numFmtId="2" fontId="0" fillId="35" borderId="10" xfId="0" applyNumberFormat="1" applyFill="1" applyBorder="1"/>
    <xf numFmtId="0" fontId="13" fillId="33" borderId="11" xfId="0" applyFont="1" applyFill="1" applyBorder="1"/>
    <xf numFmtId="0" fontId="0" fillId="35" borderId="12" xfId="0" applyFill="1" applyBorder="1"/>
    <xf numFmtId="8" fontId="0" fillId="35" borderId="12" xfId="0" applyNumberFormat="1" applyFill="1" applyBorder="1"/>
    <xf numFmtId="2" fontId="0" fillId="35" borderId="12" xfId="0" applyNumberFormat="1" applyFill="1" applyBorder="1"/>
    <xf numFmtId="0" fontId="13" fillId="33" borderId="10" xfId="0" applyFont="1" applyFill="1" applyBorder="1"/>
    <xf numFmtId="0" fontId="13" fillId="33" borderId="14" xfId="0" applyFont="1" applyFill="1" applyBorder="1"/>
    <xf numFmtId="0" fontId="0" fillId="36" borderId="10" xfId="0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16" fillId="36" borderId="11" xfId="0" applyFont="1" applyFill="1" applyBorder="1"/>
    <xf numFmtId="8" fontId="14" fillId="0" borderId="0" xfId="0" applyNumberFormat="1" applyFont="1"/>
    <xf numFmtId="8" fontId="18" fillId="0" borderId="0" xfId="0" applyNumberFormat="1" applyFont="1"/>
    <xf numFmtId="8" fontId="18" fillId="34" borderId="0" xfId="0" applyNumberFormat="1" applyFont="1" applyFill="1"/>
    <xf numFmtId="8" fontId="0" fillId="36" borderId="10" xfId="0" applyNumberFormat="1" applyFont="1" applyFill="1" applyBorder="1"/>
    <xf numFmtId="2" fontId="0" fillId="36" borderId="10" xfId="0" applyNumberFormat="1" applyFont="1" applyFill="1" applyBorder="1"/>
    <xf numFmtId="8" fontId="0" fillId="36" borderId="14" xfId="0" applyNumberFormat="1" applyFont="1" applyFill="1" applyBorder="1"/>
    <xf numFmtId="8" fontId="0" fillId="0" borderId="10" xfId="0" applyNumberFormat="1" applyFont="1" applyBorder="1"/>
    <xf numFmtId="2" fontId="0" fillId="0" borderId="10" xfId="0" applyNumberFormat="1" applyFont="1" applyBorder="1"/>
    <xf numFmtId="8" fontId="0" fillId="0" borderId="14" xfId="0" applyNumberFormat="1" applyFont="1" applyBorder="1"/>
    <xf numFmtId="49" fontId="13" fillId="33" borderId="13" xfId="0" applyNumberFormat="1" applyFont="1" applyFill="1" applyBorder="1"/>
    <xf numFmtId="49" fontId="0" fillId="34" borderId="13" xfId="0" applyNumberFormat="1" applyFont="1" applyFill="1" applyBorder="1"/>
    <xf numFmtId="49" fontId="0" fillId="0" borderId="13" xfId="0" applyNumberFormat="1" applyFont="1" applyBorder="1"/>
    <xf numFmtId="49" fontId="0" fillId="36" borderId="10" xfId="0" applyNumberFormat="1" applyFont="1" applyFill="1" applyBorder="1"/>
    <xf numFmtId="49" fontId="0" fillId="0" borderId="10" xfId="0" applyNumberFormat="1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0">
    <dxf>
      <font>
        <color rgb="FFFF0000"/>
      </font>
    </dxf>
    <dxf>
      <font>
        <color theme="6" tint="-0.249977111117893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2" formatCode="&quot;$&quot;#,##0.00_);[Red]\(&quot;$&quot;#,##0.00\)"/>
      <fill>
        <patternFill patternType="solid">
          <fgColor indexed="64"/>
          <bgColor theme="5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solid">
          <fgColor indexed="64"/>
          <bgColor theme="5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2" formatCode="&quot;$&quot;#,##0.00_);[Red]\(&quot;$&quot;#,##0.00\)"/>
      <fill>
        <patternFill patternType="solid">
          <fgColor indexed="64"/>
          <bgColor theme="5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2" formatCode="&quot;$&quot;#,##0.00_);[Red]\(&quot;$&quot;#,##0.00\)"/>
      <fill>
        <patternFill patternType="solid">
          <fgColor indexed="64"/>
          <bgColor theme="5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5" tint="0.59999389629810485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12" formatCode="&quot;$&quot;#,##0.00_);[Red]\(&quot;$&quot;#,##0.00\)"/>
    </dxf>
    <dxf>
      <numFmt numFmtId="2" formatCode="0.00"/>
    </dxf>
    <dxf>
      <numFmt numFmtId="12" formatCode="&quot;$&quot;#,##0.00_);[Red]\(&quot;$&quot;#,##0.00\)"/>
    </dxf>
    <dxf>
      <numFmt numFmtId="12" formatCode="&quot;$&quot;#,##0.00_);[Red]\(&quot;$&quot;#,##0.0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Per Capita Top Performers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Sheet1!$F$3</c:f>
              <c:strCache>
                <c:ptCount val="1"/>
                <c:pt idx="0">
                  <c:v>Sum of bacardi_revenue_per_capita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Sheet1!$E$4:$E$8</c:f>
              <c:strCache>
                <c:ptCount val="5"/>
                <c:pt idx="0">
                  <c:v>Polk</c:v>
                </c:pt>
                <c:pt idx="1">
                  <c:v>Scott</c:v>
                </c:pt>
                <c:pt idx="2">
                  <c:v>Linn</c:v>
                </c:pt>
                <c:pt idx="3">
                  <c:v>Johnson</c:v>
                </c:pt>
                <c:pt idx="4">
                  <c:v>Black Hawk</c:v>
                </c:pt>
              </c:strCache>
            </c:strRef>
          </c:cat>
          <c:val>
            <c:numRef>
              <c:f>Sheet1!$F$4:$F$8</c:f>
              <c:numCache>
                <c:formatCode>"$"#,##0.00_);[Red]\("$"#,##0.00\)</c:formatCode>
                <c:ptCount val="5"/>
                <c:pt idx="0">
                  <c:v>11.608120471855843</c:v>
                </c:pt>
                <c:pt idx="1">
                  <c:v>10.542502723575268</c:v>
                </c:pt>
                <c:pt idx="2">
                  <c:v>8.0104553416719533</c:v>
                </c:pt>
                <c:pt idx="3">
                  <c:v>11.244280649745573</c:v>
                </c:pt>
                <c:pt idx="4">
                  <c:v>8.9226179723853836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A4-4EBC-A3F9-780CB49F71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26221535"/>
        <c:axId val="1026222015"/>
      </c:barChart>
      <c:lineChart>
        <c:grouping val="standard"/>
        <c:varyColors val="0"/>
        <c:ser>
          <c:idx val="1"/>
          <c:order val="1"/>
          <c:tx>
            <c:strRef>
              <c:f>Sheet1!$G$3</c:f>
              <c:strCache>
                <c:ptCount val="1"/>
                <c:pt idx="0">
                  <c:v>Benchmark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Sheet1!$E$4:$E$8</c:f>
              <c:strCache>
                <c:ptCount val="5"/>
                <c:pt idx="0">
                  <c:v>Polk</c:v>
                </c:pt>
                <c:pt idx="1">
                  <c:v>Scott</c:v>
                </c:pt>
                <c:pt idx="2">
                  <c:v>Linn</c:v>
                </c:pt>
                <c:pt idx="3">
                  <c:v>Johnson</c:v>
                </c:pt>
                <c:pt idx="4">
                  <c:v>Black Hawk</c:v>
                </c:pt>
              </c:strCache>
            </c:strRef>
          </c:cat>
          <c:val>
            <c:numRef>
              <c:f>Sheet1!$G$4:$G$8</c:f>
              <c:numCache>
                <c:formatCode>General</c:formatCode>
                <c:ptCount val="5"/>
                <c:pt idx="0">
                  <c:v>11.131634615058895</c:v>
                </c:pt>
                <c:pt idx="1">
                  <c:v>11.131634615058895</c:v>
                </c:pt>
                <c:pt idx="2">
                  <c:v>11.131634615058895</c:v>
                </c:pt>
                <c:pt idx="3">
                  <c:v>11.131634615058895</c:v>
                </c:pt>
                <c:pt idx="4">
                  <c:v>11.131634615058895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A4-4EBC-A3F9-780CB49F71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6221535"/>
        <c:axId val="1026222015"/>
      </c:lineChart>
      <c:catAx>
        <c:axId val="1026221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6222015"/>
        <c:crosses val="autoZero"/>
        <c:auto val="1"/>
        <c:lblAlgn val="ctr"/>
        <c:lblOffset val="100"/>
        <c:noMultiLvlLbl val="0"/>
      </c:catAx>
      <c:valAx>
        <c:axId val="1026222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_);[Red]\(&quot;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6221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'data-1777486098589'!$F$1</c:f>
              <c:strCache>
                <c:ptCount val="1"/>
                <c:pt idx="0">
                  <c:v>bacardi_revenue_per_capita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'data-1777486098589'!$B$2:$B$100</c:f>
              <c:numCache>
                <c:formatCode>General</c:formatCode>
                <c:ptCount val="99"/>
                <c:pt idx="0">
                  <c:v>430640</c:v>
                </c:pt>
                <c:pt idx="1">
                  <c:v>165224</c:v>
                </c:pt>
                <c:pt idx="2">
                  <c:v>211226</c:v>
                </c:pt>
                <c:pt idx="3">
                  <c:v>130882</c:v>
                </c:pt>
                <c:pt idx="4">
                  <c:v>131090</c:v>
                </c:pt>
                <c:pt idx="5">
                  <c:v>93653</c:v>
                </c:pt>
                <c:pt idx="6">
                  <c:v>93158</c:v>
                </c:pt>
                <c:pt idx="7">
                  <c:v>102172</c:v>
                </c:pt>
                <c:pt idx="8">
                  <c:v>89542</c:v>
                </c:pt>
                <c:pt idx="9">
                  <c:v>66135</c:v>
                </c:pt>
                <c:pt idx="10">
                  <c:v>44151</c:v>
                </c:pt>
                <c:pt idx="11">
                  <c:v>16667</c:v>
                </c:pt>
                <c:pt idx="12">
                  <c:v>40325</c:v>
                </c:pt>
                <c:pt idx="13">
                  <c:v>49116</c:v>
                </c:pt>
                <c:pt idx="14">
                  <c:v>42745</c:v>
                </c:pt>
                <c:pt idx="15">
                  <c:v>35862</c:v>
                </c:pt>
                <c:pt idx="16">
                  <c:v>20816</c:v>
                </c:pt>
                <c:pt idx="17">
                  <c:v>38013</c:v>
                </c:pt>
                <c:pt idx="18">
                  <c:v>40648</c:v>
                </c:pt>
                <c:pt idx="19">
                  <c:v>35625</c:v>
                </c:pt>
                <c:pt idx="20">
                  <c:v>33309</c:v>
                </c:pt>
                <c:pt idx="21">
                  <c:v>33704</c:v>
                </c:pt>
                <c:pt idx="22">
                  <c:v>20260</c:v>
                </c:pt>
                <c:pt idx="23">
                  <c:v>17534</c:v>
                </c:pt>
                <c:pt idx="24">
                  <c:v>24276</c:v>
                </c:pt>
                <c:pt idx="25">
                  <c:v>46225</c:v>
                </c:pt>
                <c:pt idx="26">
                  <c:v>21056</c:v>
                </c:pt>
                <c:pt idx="27">
                  <c:v>15543</c:v>
                </c:pt>
                <c:pt idx="28">
                  <c:v>26306</c:v>
                </c:pt>
                <c:pt idx="29">
                  <c:v>21704</c:v>
                </c:pt>
                <c:pt idx="30">
                  <c:v>16355</c:v>
                </c:pt>
                <c:pt idx="31">
                  <c:v>36842</c:v>
                </c:pt>
                <c:pt idx="32">
                  <c:v>24986</c:v>
                </c:pt>
                <c:pt idx="33">
                  <c:v>16667</c:v>
                </c:pt>
                <c:pt idx="34">
                  <c:v>20638</c:v>
                </c:pt>
                <c:pt idx="35">
                  <c:v>17096</c:v>
                </c:pt>
                <c:pt idx="36">
                  <c:v>18914</c:v>
                </c:pt>
                <c:pt idx="37">
                  <c:v>12167</c:v>
                </c:pt>
                <c:pt idx="38">
                  <c:v>19848</c:v>
                </c:pt>
                <c:pt idx="39">
                  <c:v>10866</c:v>
                </c:pt>
                <c:pt idx="40">
                  <c:v>20958</c:v>
                </c:pt>
                <c:pt idx="41">
                  <c:v>16303</c:v>
                </c:pt>
                <c:pt idx="42">
                  <c:v>22381</c:v>
                </c:pt>
                <c:pt idx="43">
                  <c:v>20880</c:v>
                </c:pt>
                <c:pt idx="44">
                  <c:v>20145</c:v>
                </c:pt>
                <c:pt idx="45">
                  <c:v>17764</c:v>
                </c:pt>
                <c:pt idx="46">
                  <c:v>15932</c:v>
                </c:pt>
                <c:pt idx="47">
                  <c:v>13956</c:v>
                </c:pt>
                <c:pt idx="48">
                  <c:v>12534</c:v>
                </c:pt>
                <c:pt idx="49">
                  <c:v>14330</c:v>
                </c:pt>
                <c:pt idx="50">
                  <c:v>14398</c:v>
                </c:pt>
                <c:pt idx="51">
                  <c:v>13229</c:v>
                </c:pt>
                <c:pt idx="52">
                  <c:v>18129</c:v>
                </c:pt>
                <c:pt idx="53">
                  <c:v>16843</c:v>
                </c:pt>
                <c:pt idx="54">
                  <c:v>12884</c:v>
                </c:pt>
                <c:pt idx="55">
                  <c:v>9566</c:v>
                </c:pt>
                <c:pt idx="56">
                  <c:v>9421</c:v>
                </c:pt>
                <c:pt idx="57">
                  <c:v>15673</c:v>
                </c:pt>
                <c:pt idx="58">
                  <c:v>11581</c:v>
                </c:pt>
                <c:pt idx="59">
                  <c:v>10680</c:v>
                </c:pt>
                <c:pt idx="60">
                  <c:v>10350</c:v>
                </c:pt>
                <c:pt idx="61">
                  <c:v>10302</c:v>
                </c:pt>
                <c:pt idx="62">
                  <c:v>26076</c:v>
                </c:pt>
                <c:pt idx="63">
                  <c:v>9815</c:v>
                </c:pt>
                <c:pt idx="64">
                  <c:v>9243</c:v>
                </c:pt>
                <c:pt idx="65">
                  <c:v>17767</c:v>
                </c:pt>
                <c:pt idx="66">
                  <c:v>15059</c:v>
                </c:pt>
                <c:pt idx="67">
                  <c:v>10776</c:v>
                </c:pt>
                <c:pt idx="68">
                  <c:v>12072</c:v>
                </c:pt>
                <c:pt idx="69">
                  <c:v>7598</c:v>
                </c:pt>
                <c:pt idx="70">
                  <c:v>14928</c:v>
                </c:pt>
                <c:pt idx="71">
                  <c:v>9670</c:v>
                </c:pt>
                <c:pt idx="72">
                  <c:v>18499</c:v>
                </c:pt>
                <c:pt idx="73">
                  <c:v>15679</c:v>
                </c:pt>
                <c:pt idx="74">
                  <c:v>9286</c:v>
                </c:pt>
                <c:pt idx="75">
                  <c:v>10740</c:v>
                </c:pt>
                <c:pt idx="76">
                  <c:v>7089</c:v>
                </c:pt>
                <c:pt idx="77">
                  <c:v>9336</c:v>
                </c:pt>
                <c:pt idx="78">
                  <c:v>7682</c:v>
                </c:pt>
                <c:pt idx="79">
                  <c:v>11341</c:v>
                </c:pt>
                <c:pt idx="80">
                  <c:v>6119</c:v>
                </c:pt>
                <c:pt idx="81">
                  <c:v>12439</c:v>
                </c:pt>
                <c:pt idx="82">
                  <c:v>8898</c:v>
                </c:pt>
                <c:pt idx="83">
                  <c:v>14867</c:v>
                </c:pt>
                <c:pt idx="84">
                  <c:v>12453</c:v>
                </c:pt>
                <c:pt idx="85">
                  <c:v>7970</c:v>
                </c:pt>
                <c:pt idx="86">
                  <c:v>6462</c:v>
                </c:pt>
                <c:pt idx="87">
                  <c:v>7310</c:v>
                </c:pt>
                <c:pt idx="88">
                  <c:v>8457</c:v>
                </c:pt>
                <c:pt idx="89">
                  <c:v>11387</c:v>
                </c:pt>
                <c:pt idx="90">
                  <c:v>10954</c:v>
                </c:pt>
                <c:pt idx="91">
                  <c:v>6403</c:v>
                </c:pt>
                <c:pt idx="92">
                  <c:v>7570</c:v>
                </c:pt>
                <c:pt idx="93">
                  <c:v>10511</c:v>
                </c:pt>
                <c:pt idx="94">
                  <c:v>8753</c:v>
                </c:pt>
                <c:pt idx="95">
                  <c:v>5131</c:v>
                </c:pt>
                <c:pt idx="96">
                  <c:v>6317</c:v>
                </c:pt>
                <c:pt idx="97">
                  <c:v>4029</c:v>
                </c:pt>
                <c:pt idx="98">
                  <c:v>7441</c:v>
                </c:pt>
              </c:numCache>
            </c:numRef>
          </c:xVal>
          <c:yVal>
            <c:numRef>
              <c:f>'data-1777486098589'!$F$2:$F$100</c:f>
              <c:numCache>
                <c:formatCode>"$"#,##0.00_);[Red]\("$"#,##0.00\)</c:formatCode>
                <c:ptCount val="99"/>
                <c:pt idx="0">
                  <c:v>11.608120471855843</c:v>
                </c:pt>
                <c:pt idx="1">
                  <c:v>10.542502723575268</c:v>
                </c:pt>
                <c:pt idx="2">
                  <c:v>8.0104553416719533</c:v>
                </c:pt>
                <c:pt idx="3">
                  <c:v>11.244280649745573</c:v>
                </c:pt>
                <c:pt idx="4">
                  <c:v>8.9226179723853836</c:v>
                </c:pt>
                <c:pt idx="5">
                  <c:v>8.6240644720404038</c:v>
                </c:pt>
                <c:pt idx="6">
                  <c:v>8.5387873290538661</c:v>
                </c:pt>
                <c:pt idx="7">
                  <c:v>7.2611199741612182</c:v>
                </c:pt>
                <c:pt idx="8">
                  <c:v>7.9575786781622035</c:v>
                </c:pt>
                <c:pt idx="9">
                  <c:v>9.4313566190368192</c:v>
                </c:pt>
                <c:pt idx="10">
                  <c:v>9.6241652510701918</c:v>
                </c:pt>
                <c:pt idx="11">
                  <c:v>21.338146037079259</c:v>
                </c:pt>
                <c:pt idx="12">
                  <c:v>7.0433160570365771</c:v>
                </c:pt>
                <c:pt idx="13">
                  <c:v>5.733883663164753</c:v>
                </c:pt>
                <c:pt idx="14">
                  <c:v>6.4019742659960235</c:v>
                </c:pt>
                <c:pt idx="15">
                  <c:v>6.804178796497685</c:v>
                </c:pt>
                <c:pt idx="16">
                  <c:v>11.421915353574173</c:v>
                </c:pt>
                <c:pt idx="17">
                  <c:v>6.03421040170468</c:v>
                </c:pt>
                <c:pt idx="18">
                  <c:v>4.2258873745325722</c:v>
                </c:pt>
                <c:pt idx="19">
                  <c:v>4.2316494035087722</c:v>
                </c:pt>
                <c:pt idx="20">
                  <c:v>4.1824539914137313</c:v>
                </c:pt>
                <c:pt idx="21">
                  <c:v>3.8475943508188939</c:v>
                </c:pt>
                <c:pt idx="22">
                  <c:v>6.2419141164856855</c:v>
                </c:pt>
                <c:pt idx="23">
                  <c:v>7.0742785445420324</c:v>
                </c:pt>
                <c:pt idx="24">
                  <c:v>4.9977409787444387</c:v>
                </c:pt>
                <c:pt idx="25">
                  <c:v>2.4452573282855599</c:v>
                </c:pt>
                <c:pt idx="26">
                  <c:v>5.2656283244680857</c:v>
                </c:pt>
                <c:pt idx="27">
                  <c:v>7.01411825258959</c:v>
                </c:pt>
                <c:pt idx="28">
                  <c:v>3.9437379305101499</c:v>
                </c:pt>
                <c:pt idx="29">
                  <c:v>4.6690683744931816</c:v>
                </c:pt>
                <c:pt idx="30">
                  <c:v>6.1811354325894223</c:v>
                </c:pt>
                <c:pt idx="31">
                  <c:v>2.7024719070625918</c:v>
                </c:pt>
                <c:pt idx="32">
                  <c:v>3.9390602737533018</c:v>
                </c:pt>
                <c:pt idx="33">
                  <c:v>5.5107499850002997</c:v>
                </c:pt>
                <c:pt idx="34">
                  <c:v>4.0548342862680489</c:v>
                </c:pt>
                <c:pt idx="35">
                  <c:v>4.4926462330369681</c:v>
                </c:pt>
                <c:pt idx="36">
                  <c:v>3.9358543935708998</c:v>
                </c:pt>
                <c:pt idx="37">
                  <c:v>5.6193005671077501</c:v>
                </c:pt>
                <c:pt idx="38">
                  <c:v>3.3730547158403867</c:v>
                </c:pt>
                <c:pt idx="39">
                  <c:v>5.985504325418737</c:v>
                </c:pt>
                <c:pt idx="40">
                  <c:v>3.0172354232274072</c:v>
                </c:pt>
                <c:pt idx="41">
                  <c:v>3.84859228362878</c:v>
                </c:pt>
                <c:pt idx="42">
                  <c:v>2.7916786560028592</c:v>
                </c:pt>
                <c:pt idx="43">
                  <c:v>2.9565727969348656</c:v>
                </c:pt>
                <c:pt idx="44">
                  <c:v>3.002470588235294</c:v>
                </c:pt>
                <c:pt idx="45">
                  <c:v>3.3766995046160777</c:v>
                </c:pt>
                <c:pt idx="46">
                  <c:v>3.6226217675119257</c:v>
                </c:pt>
                <c:pt idx="47">
                  <c:v>4.1175781026081975</c:v>
                </c:pt>
                <c:pt idx="48">
                  <c:v>4.1798946864528483</c:v>
                </c:pt>
                <c:pt idx="49">
                  <c:v>3.5934682484298675</c:v>
                </c:pt>
                <c:pt idx="50">
                  <c:v>3.4423149048478954</c:v>
                </c:pt>
                <c:pt idx="51">
                  <c:v>3.5416992969990173</c:v>
                </c:pt>
                <c:pt idx="52">
                  <c:v>2.557197859782669</c:v>
                </c:pt>
                <c:pt idx="53">
                  <c:v>2.739189574303865</c:v>
                </c:pt>
                <c:pt idx="54">
                  <c:v>3.5636999379074821</c:v>
                </c:pt>
                <c:pt idx="55">
                  <c:v>4.6949100982646881</c:v>
                </c:pt>
                <c:pt idx="56">
                  <c:v>4.7661723808512901</c:v>
                </c:pt>
                <c:pt idx="57">
                  <c:v>2.5560090601671668</c:v>
                </c:pt>
                <c:pt idx="58">
                  <c:v>3.410603574820827</c:v>
                </c:pt>
                <c:pt idx="59">
                  <c:v>3.5420636704119848</c:v>
                </c:pt>
                <c:pt idx="60">
                  <c:v>3.5899207729468601</c:v>
                </c:pt>
                <c:pt idx="61">
                  <c:v>3.5856154144826249</c:v>
                </c:pt>
                <c:pt idx="62">
                  <c:v>1.3598055683387023</c:v>
                </c:pt>
                <c:pt idx="63">
                  <c:v>3.5945736118186447</c:v>
                </c:pt>
                <c:pt idx="64">
                  <c:v>3.7766212268743913</c:v>
                </c:pt>
                <c:pt idx="65">
                  <c:v>1.9400512185512466</c:v>
                </c:pt>
                <c:pt idx="66">
                  <c:v>2.147093432498838</c:v>
                </c:pt>
                <c:pt idx="67">
                  <c:v>2.9433769487750556</c:v>
                </c:pt>
                <c:pt idx="68">
                  <c:v>2.3555815109343938</c:v>
                </c:pt>
                <c:pt idx="69">
                  <c:v>3.6572124243221902</c:v>
                </c:pt>
                <c:pt idx="70">
                  <c:v>1.8498271704180065</c:v>
                </c:pt>
                <c:pt idx="71">
                  <c:v>2.8191809720785934</c:v>
                </c:pt>
                <c:pt idx="72">
                  <c:v>1.4671609276177089</c:v>
                </c:pt>
                <c:pt idx="73">
                  <c:v>1.6707761974615727</c:v>
                </c:pt>
                <c:pt idx="74">
                  <c:v>2.8135677363773421</c:v>
                </c:pt>
                <c:pt idx="75">
                  <c:v>2.3902160148975788</c:v>
                </c:pt>
                <c:pt idx="76">
                  <c:v>3.4157836084073918</c:v>
                </c:pt>
                <c:pt idx="77">
                  <c:v>2.43330441302485</c:v>
                </c:pt>
                <c:pt idx="78">
                  <c:v>2.8007732361364228</c:v>
                </c:pt>
                <c:pt idx="79">
                  <c:v>1.739190547570761</c:v>
                </c:pt>
                <c:pt idx="80">
                  <c:v>2.9787154763850299</c:v>
                </c:pt>
                <c:pt idx="81">
                  <c:v>1.2944456949915588</c:v>
                </c:pt>
                <c:pt idx="82">
                  <c:v>1.7552528658125421</c:v>
                </c:pt>
                <c:pt idx="83">
                  <c:v>0.86707674715813543</c:v>
                </c:pt>
                <c:pt idx="84">
                  <c:v>0.97823737252067777</c:v>
                </c:pt>
                <c:pt idx="85">
                  <c:v>1.4297038895859473</c:v>
                </c:pt>
                <c:pt idx="86">
                  <c:v>1.7115567935623646</c:v>
                </c:pt>
                <c:pt idx="87">
                  <c:v>1.4146976744186046</c:v>
                </c:pt>
                <c:pt idx="88">
                  <c:v>1.1117240156083719</c:v>
                </c:pt>
                <c:pt idx="89">
                  <c:v>0.81299376481953101</c:v>
                </c:pt>
                <c:pt idx="90">
                  <c:v>0.7920339601971883</c:v>
                </c:pt>
                <c:pt idx="91">
                  <c:v>1.1289114477588631</c:v>
                </c:pt>
                <c:pt idx="92">
                  <c:v>0.80194980184940556</c:v>
                </c:pt>
                <c:pt idx="93">
                  <c:v>0.53651222528779374</c:v>
                </c:pt>
                <c:pt idx="94">
                  <c:v>0.63141094481891924</c:v>
                </c:pt>
                <c:pt idx="95">
                  <c:v>0.88365036055349844</c:v>
                </c:pt>
                <c:pt idx="96">
                  <c:v>0.41804495804970715</c:v>
                </c:pt>
                <c:pt idx="97">
                  <c:v>0.64746587242491926</c:v>
                </c:pt>
                <c:pt idx="98">
                  <c:v>4.3542534605563767E-2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46-400A-8461-825373AAB8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6247935"/>
        <c:axId val="1026250335"/>
      </c:scatterChart>
      <c:valAx>
        <c:axId val="10262479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6250335"/>
        <c:crosses val="autoZero"/>
        <c:crossBetween val="midCat"/>
      </c:valAx>
      <c:valAx>
        <c:axId val="1026250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_);[Red]\(&quot;$&quot;#,##0.0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62479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66675</xdr:colOff>
      <xdr:row>4</xdr:row>
      <xdr:rowOff>109537</xdr:rowOff>
    </xdr:from>
    <xdr:to>
      <xdr:col>18</xdr:col>
      <xdr:colOff>371475</xdr:colOff>
      <xdr:row>18</xdr:row>
      <xdr:rowOff>185737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056436A-D368-13BF-D4CF-4E100689A8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585787</xdr:colOff>
      <xdr:row>11</xdr:row>
      <xdr:rowOff>52387</xdr:rowOff>
    </xdr:from>
    <xdr:to>
      <xdr:col>7</xdr:col>
      <xdr:colOff>909637</xdr:colOff>
      <xdr:row>25</xdr:row>
      <xdr:rowOff>128587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8474047-536C-D743-4234-58EB7F0D2F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nur karaer" refreshedDate="46142.609170601849" createdVersion="8" refreshedVersion="8" minRefreshableVersion="3" recordCount="99" xr:uid="{E3243782-140E-4964-AC00-C7D182965575}">
  <cacheSource type="worksheet">
    <worksheetSource name="Table1"/>
  </cacheSource>
  <cacheFields count="6">
    <cacheField name="county" numFmtId="0">
      <sharedItems count="99">
        <s v="Polk"/>
        <s v="Scott"/>
        <s v="Linn"/>
        <s v="Johnson"/>
        <s v="Black Hawk"/>
        <s v="Dubuque"/>
        <s v="Pottawattamie"/>
        <s v="Woodbury"/>
        <s v="Story"/>
        <s v="Dallas"/>
        <s v="Cerro Gordo"/>
        <s v="Dickinson"/>
        <s v="Des Moines"/>
        <s v="Clinton"/>
        <s v="Muscatine"/>
        <s v="Lee"/>
        <s v="Carroll"/>
        <s v="Webster"/>
        <s v="Marshall"/>
        <s v="Wapello"/>
        <s v="Marion"/>
        <s v="Sioux"/>
        <s v="Buena Vista"/>
        <s v="Hardin"/>
        <s v="Bremer"/>
        <s v="Warren"/>
        <s v="Winneshiek"/>
        <s v="Kossuth"/>
        <s v="Boone"/>
        <s v="Washington"/>
        <s v="Iowa"/>
        <s v="Jasper"/>
        <s v="Plymouth"/>
        <s v="Clay"/>
        <s v="Jones"/>
        <s v="Crawford"/>
        <s v="Poweshiek"/>
        <s v="Shelby"/>
        <s v="Jackson"/>
        <s v="Winnebago"/>
        <s v="Buchanan"/>
        <s v="Floyd"/>
        <s v="Mahaska"/>
        <s v="Fayette"/>
        <s v="Henry"/>
        <s v="Delaware"/>
        <s v="Page"/>
        <s v="Cass"/>
        <s v="Union"/>
        <s v="Allamakee"/>
        <s v="O'Brien"/>
        <s v="Wright"/>
        <s v="Clayton"/>
        <s v="Jefferson"/>
        <s v="Appanoose"/>
        <s v="Howard"/>
        <s v="Palo Alto"/>
        <s v="Hamilton"/>
        <s v="Lyon"/>
        <s v="Franklin"/>
        <s v="Sac"/>
        <s v="Emmet"/>
        <s v="Benton"/>
        <s v="Humboldt"/>
        <s v="Monona"/>
        <s v="Tama"/>
        <s v="Mills"/>
        <s v="Mitchell"/>
        <s v="Cherokee"/>
        <s v="Worth"/>
        <s v="Harrison"/>
        <s v="Calhoun"/>
        <s v="Cedar"/>
        <s v="Madison"/>
        <s v="Clarke"/>
        <s v="Montgomery"/>
        <s v="Ida"/>
        <s v="Greene"/>
        <s v="Adair"/>
        <s v="Hancock"/>
        <s v="Audubon"/>
        <s v="Chickasaw"/>
        <s v="Lucas"/>
        <s v="Butler"/>
        <s v="Grundy"/>
        <s v="Monroe"/>
        <s v="Osceola"/>
        <s v="Pocahontas"/>
        <s v="Decatur"/>
        <s v="Louisa"/>
        <s v="Guthrie"/>
        <s v="Wayne"/>
        <s v="Van Buren"/>
        <s v="Keokuk"/>
        <s v="Davis"/>
        <s v="Ringgold"/>
        <s v="Taylor"/>
        <s v="Adams"/>
        <s v="Fremont"/>
      </sharedItems>
    </cacheField>
    <cacheField name="population" numFmtId="0">
      <sharedItems containsSemiMixedTypes="0" containsString="0" containsNumber="1" containsInteger="1" minValue="4029" maxValue="430640"/>
    </cacheField>
    <cacheField name="bacardi_revenue" numFmtId="8">
      <sharedItems containsSemiMixedTypes="0" containsString="0" containsNumber="1" minValue="324" maxValue="4998921"/>
    </cacheField>
    <cacheField name="total_market_revenue" numFmtId="8">
      <sharedItems containsSemiMixedTypes="0" containsString="0" containsNumber="1" minValue="16603.669999999998" maxValue="86397461.790000007"/>
    </cacheField>
    <cacheField name="bacardi_market_share_pct" numFmtId="2">
      <sharedItems containsSemiMixedTypes="0" containsString="0" containsNumber="1" minValue="1.7595422614228091" maxValue="8.1735578645098705"/>
    </cacheField>
    <cacheField name="bacardi_revenue_per_capita" numFmtId="8">
      <sharedItems containsSemiMixedTypes="0" containsString="0" containsNumber="1" minValue="4.3542534605563767E-2" maxValue="21.33814603707925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">
  <r>
    <x v="0"/>
    <n v="430640"/>
    <n v="4998921"/>
    <n v="86397461.790000007"/>
    <n v="5.7859581710288106"/>
    <n v="11.608120471855843"/>
  </r>
  <r>
    <x v="1"/>
    <n v="165224"/>
    <n v="1741874.47"/>
    <n v="27902848.670000002"/>
    <n v="6.2426402787783886"/>
    <n v="10.542502723575268"/>
  </r>
  <r>
    <x v="2"/>
    <n v="211226"/>
    <n v="1692016.44"/>
    <n v="34460047.490000002"/>
    <n v="4.9100815676211944"/>
    <n v="8.0104553416719533"/>
  </r>
  <r>
    <x v="3"/>
    <n v="130882"/>
    <n v="1471673.94"/>
    <n v="24200402.25"/>
    <n v="6.0811961916872681"/>
    <n v="11.244280649745573"/>
  </r>
  <r>
    <x v="4"/>
    <n v="131090"/>
    <n v="1169665.99"/>
    <n v="22967283.289999999"/>
    <n v="5.092748564255638"/>
    <n v="8.9226179723853836"/>
  </r>
  <r>
    <x v="5"/>
    <n v="93653"/>
    <n v="807669.51"/>
    <n v="11879190.380000001"/>
    <n v="6.7990282516206282"/>
    <n v="8.6240644720404038"/>
  </r>
  <r>
    <x v="6"/>
    <n v="93158"/>
    <n v="795456.35"/>
    <n v="14177698.300000001"/>
    <n v="5.6106169927455705"/>
    <n v="8.5387873290538661"/>
  </r>
  <r>
    <x v="7"/>
    <n v="102172"/>
    <n v="741883.15"/>
    <n v="13242016.16"/>
    <n v="5.602493918116469"/>
    <n v="7.2611199741612182"/>
  </r>
  <r>
    <x v="8"/>
    <n v="89542"/>
    <n v="712537.51"/>
    <n v="12267027.18"/>
    <n v="5.8085589894323526"/>
    <n v="7.9575786781622035"/>
  </r>
  <r>
    <x v="9"/>
    <n v="66135"/>
    <n v="623742.77"/>
    <n v="7898228.4199999999"/>
    <n v="7.8972490643667665"/>
    <n v="9.4313566190368192"/>
  </r>
  <r>
    <x v="10"/>
    <n v="44151"/>
    <n v="424916.52"/>
    <n v="7998958.9199999999"/>
    <n v="5.3121477963534787"/>
    <n v="9.6241652510701918"/>
  </r>
  <r>
    <x v="11"/>
    <n v="16667"/>
    <n v="355642.88"/>
    <n v="5142111.9000000004"/>
    <n v="6.9162804488949376"/>
    <n v="21.338146037079259"/>
  </r>
  <r>
    <x v="12"/>
    <n v="40325"/>
    <n v="284021.71999999997"/>
    <n v="5168751.09"/>
    <n v="5.4949777045657653"/>
    <n v="7.0433160570365771"/>
  </r>
  <r>
    <x v="13"/>
    <n v="49116"/>
    <n v="281625.43"/>
    <n v="4851700.7300000004"/>
    <n v="5.8046743950754767"/>
    <n v="5.733883663164753"/>
  </r>
  <r>
    <x v="14"/>
    <n v="42745"/>
    <n v="273652.39"/>
    <n v="4387996.29"/>
    <n v="6.2363860840912428"/>
    <n v="6.4019742659960235"/>
  </r>
  <r>
    <x v="15"/>
    <n v="35862"/>
    <n v="244011.46"/>
    <n v="4881120.76"/>
    <n v="4.9990867261395104"/>
    <n v="6.804178796497685"/>
  </r>
  <r>
    <x v="16"/>
    <n v="20816"/>
    <n v="237758.59"/>
    <n v="3183557.2"/>
    <n v="7.4683310229198954"/>
    <n v="11.421915353574173"/>
  </r>
  <r>
    <x v="17"/>
    <n v="38013"/>
    <n v="229378.44"/>
    <n v="4323049.3"/>
    <n v="5.3059408783517688"/>
    <n v="6.03421040170468"/>
  </r>
  <r>
    <x v="18"/>
    <n v="40648"/>
    <n v="171773.87"/>
    <n v="4092699.9"/>
    <n v="4.1970795366647824"/>
    <n v="4.2258873745325722"/>
  </r>
  <r>
    <x v="19"/>
    <n v="35625"/>
    <n v="150752.51"/>
    <n v="3658972.86"/>
    <n v="4.1200772940414767"/>
    <n v="4.2316494035087722"/>
  </r>
  <r>
    <x v="20"/>
    <n v="33309"/>
    <n v="139313.35999999999"/>
    <n v="2779364.89"/>
    <n v="5.0124170633816991"/>
    <n v="4.1824539914137313"/>
  </r>
  <r>
    <x v="21"/>
    <n v="33704"/>
    <n v="129679.32"/>
    <n v="2076294.71"/>
    <n v="6.2457087317821083"/>
    <n v="3.8475943508188939"/>
  </r>
  <r>
    <x v="22"/>
    <n v="20260"/>
    <n v="126461.18"/>
    <n v="2432925.21"/>
    <n v="5.1979065973836489"/>
    <n v="6.2419141164856855"/>
  </r>
  <r>
    <x v="23"/>
    <n v="17534"/>
    <n v="124040.4"/>
    <n v="2567270.44"/>
    <n v="4.8316062876492278"/>
    <n v="7.0742785445420324"/>
  </r>
  <r>
    <x v="24"/>
    <n v="24276"/>
    <n v="121325.16"/>
    <n v="2507674.79"/>
    <n v="4.8381536746238138"/>
    <n v="4.9977409787444387"/>
  </r>
  <r>
    <x v="25"/>
    <n v="46225"/>
    <n v="113032.02"/>
    <n v="3028648.21"/>
    <n v="3.732094722219323"/>
    <n v="2.4452573282855599"/>
  </r>
  <r>
    <x v="26"/>
    <n v="21056"/>
    <n v="110873.07"/>
    <n v="1956732.65"/>
    <n v="5.6662349861643087"/>
    <n v="5.2656283244680857"/>
  </r>
  <r>
    <x v="27"/>
    <n v="15543"/>
    <n v="109020.44"/>
    <n v="2522531.13"/>
    <n v="4.3218669812808219"/>
    <n v="7.01411825258959"/>
  </r>
  <r>
    <x v="28"/>
    <n v="26306"/>
    <n v="103743.97"/>
    <n v="2441399.88"/>
    <n v="4.2493640984368364"/>
    <n v="3.9437379305101499"/>
  </r>
  <r>
    <x v="29"/>
    <n v="21704"/>
    <n v="101337.46"/>
    <n v="2047974.45"/>
    <n v="4.948179895506021"/>
    <n v="4.6690683744931816"/>
  </r>
  <r>
    <x v="30"/>
    <n v="16355"/>
    <n v="101092.47"/>
    <n v="2226471.23"/>
    <n v="4.5404795102607274"/>
    <n v="6.1811354325894223"/>
  </r>
  <r>
    <x v="31"/>
    <n v="36842"/>
    <n v="99564.47"/>
    <n v="2544580.83"/>
    <n v="3.9128043733631364"/>
    <n v="2.7024719070625918"/>
  </r>
  <r>
    <x v="32"/>
    <n v="24986"/>
    <n v="98421.36"/>
    <n v="2268583.98"/>
    <n v="4.3384490443241166"/>
    <n v="3.9390602737533018"/>
  </r>
  <r>
    <x v="33"/>
    <n v="16667"/>
    <n v="91847.67"/>
    <n v="2140888"/>
    <n v="4.2901669774411362"/>
    <n v="5.5107499850002997"/>
  </r>
  <r>
    <x v="34"/>
    <n v="20638"/>
    <n v="83683.67"/>
    <n v="1598830.32"/>
    <n v="5.2340557314424707"/>
    <n v="4.0548342862680489"/>
  </r>
  <r>
    <x v="35"/>
    <n v="17096"/>
    <n v="76806.28"/>
    <n v="1971876.55"/>
    <n v="3.8950856228803974"/>
    <n v="4.4926462330369681"/>
  </r>
  <r>
    <x v="36"/>
    <n v="18914"/>
    <n v="74442.75"/>
    <n v="2012519.27"/>
    <n v="3.6989832152017108"/>
    <n v="3.9358543935708998"/>
  </r>
  <r>
    <x v="37"/>
    <n v="12167"/>
    <n v="68370.03"/>
    <n v="1163855.3500000001"/>
    <n v="5.8744439332602623"/>
    <n v="5.6193005671077501"/>
  </r>
  <r>
    <x v="38"/>
    <n v="19848"/>
    <n v="66948.39"/>
    <n v="1720246.48"/>
    <n v="3.8917905531770076"/>
    <n v="3.3730547158403867"/>
  </r>
  <r>
    <x v="39"/>
    <n v="10866"/>
    <n v="65038.49"/>
    <n v="1024059.83"/>
    <n v="6.3510439619528878"/>
    <n v="5.985504325418737"/>
  </r>
  <r>
    <x v="40"/>
    <n v="20958"/>
    <n v="63235.22"/>
    <n v="1949162.4"/>
    <n v="3.2442253144222359"/>
    <n v="3.0172354232274072"/>
  </r>
  <r>
    <x v="41"/>
    <n v="16303"/>
    <n v="62743.6"/>
    <n v="1571213.86"/>
    <n v="3.9933201709409563"/>
    <n v="3.84859228362878"/>
  </r>
  <r>
    <x v="42"/>
    <n v="22381"/>
    <n v="62480.56"/>
    <n v="1378251.77"/>
    <n v="4.5333197721922751"/>
    <n v="2.7916786560028592"/>
  </r>
  <r>
    <x v="43"/>
    <n v="20880"/>
    <n v="61733.24"/>
    <n v="1668008.23"/>
    <n v="3.7010153121366796"/>
    <n v="2.9565727969348656"/>
  </r>
  <r>
    <x v="44"/>
    <n v="20145"/>
    <n v="60484.77"/>
    <n v="1550328.8"/>
    <n v="3.9014156222860592"/>
    <n v="3.002470588235294"/>
  </r>
  <r>
    <x v="45"/>
    <n v="17764"/>
    <n v="59983.69"/>
    <n v="1277554.19"/>
    <n v="4.6951973129218105"/>
    <n v="3.3766995046160777"/>
  </r>
  <r>
    <x v="46"/>
    <n v="15932"/>
    <n v="57715.61"/>
    <n v="1618152.03"/>
    <n v="3.5667606584530871"/>
    <n v="3.6226217675119257"/>
  </r>
  <r>
    <x v="47"/>
    <n v="13956"/>
    <n v="57464.92"/>
    <n v="1527535.95"/>
    <n v="3.7619356847215282"/>
    <n v="4.1175781026081975"/>
  </r>
  <r>
    <x v="48"/>
    <n v="12534"/>
    <n v="52390.8"/>
    <n v="1337091.6299999999"/>
    <n v="3.9182654968829631"/>
    <n v="4.1798946864528483"/>
  </r>
  <r>
    <x v="49"/>
    <n v="14330"/>
    <n v="51494.400000000001"/>
    <n v="1107480.6599999999"/>
    <n v="4.6496884198411204"/>
    <n v="3.5934682484298675"/>
  </r>
  <r>
    <x v="50"/>
    <n v="14398"/>
    <n v="49562.45"/>
    <n v="1776809.53"/>
    <n v="2.7894070334032932"/>
    <n v="3.4423149048478954"/>
  </r>
  <r>
    <x v="51"/>
    <n v="13229"/>
    <n v="46853.14"/>
    <n v="991451.14"/>
    <n v="4.7257134627935367"/>
    <n v="3.5416992969990173"/>
  </r>
  <r>
    <x v="52"/>
    <n v="18129"/>
    <n v="46359.44"/>
    <n v="994568.53"/>
    <n v="4.6612615020103245"/>
    <n v="2.557197859782669"/>
  </r>
  <r>
    <x v="53"/>
    <n v="16843"/>
    <n v="46136.17"/>
    <n v="1120768.6100000001"/>
    <n v="4.1164759244997056"/>
    <n v="2.739189574303865"/>
  </r>
  <r>
    <x v="54"/>
    <n v="12884"/>
    <n v="45914.71"/>
    <n v="1089064.58"/>
    <n v="4.2159767972621056"/>
    <n v="3.5636999379074821"/>
  </r>
  <r>
    <x v="55"/>
    <n v="9566"/>
    <n v="44911.51"/>
    <n v="1114317.54"/>
    <n v="4.0304050136373153"/>
    <n v="4.6949100982646881"/>
  </r>
  <r>
    <x v="56"/>
    <n v="9421"/>
    <n v="44902.11"/>
    <n v="941404.65"/>
    <n v="4.7696928201916151"/>
    <n v="4.7661723808512901"/>
  </r>
  <r>
    <x v="57"/>
    <n v="15673"/>
    <n v="40060.33"/>
    <n v="1244371.58"/>
    <n v="3.2193221577754132"/>
    <n v="2.5560090601671668"/>
  </r>
  <r>
    <x v="58"/>
    <n v="11581"/>
    <n v="39498.199999999997"/>
    <n v="1024856.07"/>
    <n v="3.8540241070143635"/>
    <n v="3.410603574820827"/>
  </r>
  <r>
    <x v="59"/>
    <n v="10680"/>
    <n v="37829.24"/>
    <n v="702357.9"/>
    <n v="5.3860346697887209"/>
    <n v="3.5420636704119848"/>
  </r>
  <r>
    <x v="60"/>
    <n v="10350"/>
    <n v="37155.68"/>
    <n v="746083.11"/>
    <n v="4.9800993350459306"/>
    <n v="3.5899207729468601"/>
  </r>
  <r>
    <x v="61"/>
    <n v="10302"/>
    <n v="36939.01"/>
    <n v="840077.29"/>
    <n v="4.3970966052421199"/>
    <n v="3.5856154144826249"/>
  </r>
  <r>
    <x v="62"/>
    <n v="26076"/>
    <n v="35458.29"/>
    <n v="994344.98"/>
    <n v="3.5659947717541653"/>
    <n v="1.3598055683387023"/>
  </r>
  <r>
    <x v="63"/>
    <n v="9815"/>
    <n v="35280.74"/>
    <n v="940960.97"/>
    <n v="3.74943713127655"/>
    <n v="3.5945736118186447"/>
  </r>
  <r>
    <x v="64"/>
    <n v="9243"/>
    <n v="34907.31"/>
    <n v="790327.5"/>
    <n v="4.416815813697486"/>
    <n v="3.7766212268743913"/>
  </r>
  <r>
    <x v="65"/>
    <n v="17767"/>
    <n v="34468.89"/>
    <n v="876011.17"/>
    <n v="3.9347546219073894"/>
    <n v="1.9400512185512466"/>
  </r>
  <r>
    <x v="66"/>
    <n v="15059"/>
    <n v="32333.08"/>
    <n v="617724.37"/>
    <n v="5.23422444868089"/>
    <n v="2.147093432498838"/>
  </r>
  <r>
    <x v="67"/>
    <n v="10776"/>
    <n v="31717.83"/>
    <n v="644715.72"/>
    <n v="4.9196613353867038"/>
    <n v="2.9433769487750556"/>
  </r>
  <r>
    <x v="68"/>
    <n v="12072"/>
    <n v="28436.58"/>
    <n v="981007.93"/>
    <n v="2.898710512972102"/>
    <n v="2.3555815109343938"/>
  </r>
  <r>
    <x v="69"/>
    <n v="7598"/>
    <n v="27787.5"/>
    <n v="339968.23"/>
    <n v="8.1735578645098705"/>
    <n v="3.6572124243221902"/>
  </r>
  <r>
    <x v="70"/>
    <n v="14928"/>
    <n v="27614.22"/>
    <n v="651345.05000000005"/>
    <n v="4.2395685666145768"/>
    <n v="1.8498271704180065"/>
  </r>
  <r>
    <x v="71"/>
    <n v="9670"/>
    <n v="27261.48"/>
    <n v="482178.34"/>
    <n v="5.6538168014763999"/>
    <n v="2.8191809720785934"/>
  </r>
  <r>
    <x v="72"/>
    <n v="18499"/>
    <n v="27141.01"/>
    <n v="783200.87"/>
    <n v="3.4653957930358277"/>
    <n v="1.4671609276177089"/>
  </r>
  <r>
    <x v="73"/>
    <n v="15679"/>
    <n v="26196.1"/>
    <n v="848829.42"/>
    <n v="3.0861442102230621"/>
    <n v="1.6707761974615727"/>
  </r>
  <r>
    <x v="74"/>
    <n v="9286"/>
    <n v="26126.79"/>
    <n v="845731.43"/>
    <n v="3.0892537599081544"/>
    <n v="2.8135677363773421"/>
  </r>
  <r>
    <x v="75"/>
    <n v="10740"/>
    <n v="25670.92"/>
    <n v="839109.2"/>
    <n v="3.0593062261741379"/>
    <n v="2.3902160148975788"/>
  </r>
  <r>
    <x v="76"/>
    <n v="7089"/>
    <n v="24214.49"/>
    <n v="603641"/>
    <n v="4.0114057858892949"/>
    <n v="3.4157836084073918"/>
  </r>
  <r>
    <x v="77"/>
    <n v="9336"/>
    <n v="22717.33"/>
    <n v="548905.25"/>
    <n v="4.1386614538665834"/>
    <n v="2.43330441302485"/>
  </r>
  <r>
    <x v="78"/>
    <n v="7682"/>
    <n v="21515.54"/>
    <n v="603088.67000000004"/>
    <n v="3.5675583160930544"/>
    <n v="2.8007732361364228"/>
  </r>
  <r>
    <x v="79"/>
    <n v="11341"/>
    <n v="19724.16"/>
    <n v="399807.53"/>
    <n v="4.9334138354022494"/>
    <n v="1.739190547570761"/>
  </r>
  <r>
    <x v="80"/>
    <n v="6119"/>
    <n v="18226.759999999998"/>
    <n v="241821.88"/>
    <n v="7.5372666857109856"/>
    <n v="2.9787154763850299"/>
  </r>
  <r>
    <x v="81"/>
    <n v="12439"/>
    <n v="16101.61"/>
    <n v="548956.25"/>
    <n v="2.9331317386403746"/>
    <n v="1.2944456949915588"/>
  </r>
  <r>
    <x v="82"/>
    <n v="8898"/>
    <n v="15618.24"/>
    <n v="580658.38"/>
    <n v="2.6897467664205585"/>
    <n v="1.7552528658125421"/>
  </r>
  <r>
    <x v="83"/>
    <n v="14867"/>
    <n v="12890.83"/>
    <n v="399080.61"/>
    <n v="3.2301318773668304"/>
    <n v="0.86707674715813543"/>
  </r>
  <r>
    <x v="84"/>
    <n v="12453"/>
    <n v="12181.99"/>
    <n v="405592.83"/>
    <n v="3.0035023055018009"/>
    <n v="0.97823737252067777"/>
  </r>
  <r>
    <x v="85"/>
    <n v="7970"/>
    <n v="11394.74"/>
    <n v="417543.16"/>
    <n v="2.7289969257309834"/>
    <n v="1.4297038895859473"/>
  </r>
  <r>
    <x v="86"/>
    <n v="6462"/>
    <n v="11060.08"/>
    <n v="344176.87"/>
    <n v="3.2134872979697908"/>
    <n v="1.7115567935623646"/>
  </r>
  <r>
    <x v="87"/>
    <n v="7310"/>
    <n v="10341.44"/>
    <n v="500771.13"/>
    <n v="2.065103074132888"/>
    <n v="1.4146976744186046"/>
  </r>
  <r>
    <x v="88"/>
    <n v="8457"/>
    <n v="9401.85"/>
    <n v="248492.15"/>
    <n v="3.7835601647778412"/>
    <n v="1.1117240156083719"/>
  </r>
  <r>
    <x v="89"/>
    <n v="11387"/>
    <n v="9257.56"/>
    <n v="351079.49"/>
    <n v="2.6368843135781015"/>
    <n v="0.81299376481953101"/>
  </r>
  <r>
    <x v="90"/>
    <n v="10954"/>
    <n v="8675.94"/>
    <n v="382753.71"/>
    <n v="2.2667161083820715"/>
    <n v="0.7920339601971883"/>
  </r>
  <r>
    <x v="91"/>
    <n v="6403"/>
    <n v="7228.42"/>
    <n v="98824.4"/>
    <n v="7.3144081825945824"/>
    <n v="1.1289114477588631"/>
  </r>
  <r>
    <x v="92"/>
    <n v="7570"/>
    <n v="6070.76"/>
    <n v="260151.48"/>
    <n v="2.3335481312656765"/>
    <n v="0.80194980184940556"/>
  </r>
  <r>
    <x v="93"/>
    <n v="10511"/>
    <n v="5639.28"/>
    <n v="212602.13"/>
    <n v="2.6525039989016101"/>
    <n v="0.53651222528779374"/>
  </r>
  <r>
    <x v="94"/>
    <n v="8753"/>
    <n v="5526.74"/>
    <n v="140947.39000000001"/>
    <n v="3.9211368156586648"/>
    <n v="0.63141094481891924"/>
  </r>
  <r>
    <x v="95"/>
    <n v="5131"/>
    <n v="4534.01"/>
    <n v="198067.73"/>
    <n v="2.2891209991652857"/>
    <n v="0.88365036055349844"/>
  </r>
  <r>
    <x v="96"/>
    <n v="6317"/>
    <n v="2640.79"/>
    <n v="150083.92000000001"/>
    <n v="1.7595422614228091"/>
    <n v="0.41804495804970715"/>
  </r>
  <r>
    <x v="97"/>
    <n v="4029"/>
    <n v="2608.64"/>
    <n v="125714.47"/>
    <n v="2.075051503617682"/>
    <n v="0.64746587242491926"/>
  </r>
  <r>
    <x v="98"/>
    <n v="7441"/>
    <n v="324"/>
    <n v="16603.669999999998"/>
    <n v="1.9513758102877259"/>
    <n v="4.3542534605563767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5ECA7E-30F1-49D9-BBC8-AE1182706ACB}" name="PivotTable19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103" firstHeaderRow="0" firstDataRow="1" firstDataCol="1"/>
  <pivotFields count="6">
    <pivotField axis="axisRow" showAll="0" sortType="descending">
      <items count="100">
        <item x="78"/>
        <item x="97"/>
        <item x="49"/>
        <item x="54"/>
        <item x="80"/>
        <item x="62"/>
        <item x="4"/>
        <item x="28"/>
        <item x="24"/>
        <item x="40"/>
        <item x="22"/>
        <item x="83"/>
        <item x="71"/>
        <item x="16"/>
        <item x="47"/>
        <item x="72"/>
        <item x="10"/>
        <item x="68"/>
        <item x="81"/>
        <item x="74"/>
        <item x="33"/>
        <item x="52"/>
        <item x="13"/>
        <item x="35"/>
        <item x="9"/>
        <item x="94"/>
        <item x="88"/>
        <item x="45"/>
        <item x="12"/>
        <item x="11"/>
        <item x="5"/>
        <item x="61"/>
        <item x="43"/>
        <item x="41"/>
        <item x="59"/>
        <item x="98"/>
        <item x="77"/>
        <item x="84"/>
        <item x="90"/>
        <item x="57"/>
        <item x="79"/>
        <item x="23"/>
        <item x="70"/>
        <item x="44"/>
        <item x="55"/>
        <item x="63"/>
        <item x="76"/>
        <item x="30"/>
        <item x="38"/>
        <item x="31"/>
        <item x="53"/>
        <item x="3"/>
        <item x="34"/>
        <item x="93"/>
        <item x="27"/>
        <item x="15"/>
        <item x="2"/>
        <item x="89"/>
        <item x="82"/>
        <item x="58"/>
        <item x="73"/>
        <item x="42"/>
        <item x="20"/>
        <item x="18"/>
        <item x="66"/>
        <item x="67"/>
        <item x="64"/>
        <item x="85"/>
        <item x="75"/>
        <item x="14"/>
        <item x="50"/>
        <item x="86"/>
        <item x="46"/>
        <item x="56"/>
        <item x="32"/>
        <item x="87"/>
        <item x="0"/>
        <item x="6"/>
        <item x="36"/>
        <item x="95"/>
        <item x="60"/>
        <item x="1"/>
        <item x="37"/>
        <item x="21"/>
        <item x="8"/>
        <item x="65"/>
        <item x="96"/>
        <item x="48"/>
        <item x="92"/>
        <item x="19"/>
        <item x="25"/>
        <item x="29"/>
        <item x="91"/>
        <item x="17"/>
        <item x="39"/>
        <item x="26"/>
        <item x="7"/>
        <item x="69"/>
        <item x="5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numFmtId="8" showAll="0"/>
    <pivotField numFmtId="8" showAll="0"/>
    <pivotField numFmtId="2" showAll="0"/>
    <pivotField dataField="1" numFmtId="8" showAll="0"/>
  </pivotFields>
  <rowFields count="1">
    <field x="0"/>
  </rowFields>
  <rowItems count="100">
    <i>
      <x v="76"/>
    </i>
    <i>
      <x v="81"/>
    </i>
    <i>
      <x v="56"/>
    </i>
    <i>
      <x v="51"/>
    </i>
    <i>
      <x v="6"/>
    </i>
    <i>
      <x v="30"/>
    </i>
    <i>
      <x v="77"/>
    </i>
    <i>
      <x v="96"/>
    </i>
    <i>
      <x v="84"/>
    </i>
    <i>
      <x v="24"/>
    </i>
    <i>
      <x v="16"/>
    </i>
    <i>
      <x v="29"/>
    </i>
    <i>
      <x v="28"/>
    </i>
    <i>
      <x v="22"/>
    </i>
    <i>
      <x v="69"/>
    </i>
    <i>
      <x v="55"/>
    </i>
    <i>
      <x v="13"/>
    </i>
    <i>
      <x v="93"/>
    </i>
    <i>
      <x v="63"/>
    </i>
    <i>
      <x v="89"/>
    </i>
    <i>
      <x v="62"/>
    </i>
    <i>
      <x v="83"/>
    </i>
    <i>
      <x v="10"/>
    </i>
    <i>
      <x v="41"/>
    </i>
    <i>
      <x v="8"/>
    </i>
    <i>
      <x v="90"/>
    </i>
    <i>
      <x v="95"/>
    </i>
    <i>
      <x v="54"/>
    </i>
    <i>
      <x v="7"/>
    </i>
    <i>
      <x v="91"/>
    </i>
    <i>
      <x v="47"/>
    </i>
    <i>
      <x v="49"/>
    </i>
    <i>
      <x v="74"/>
    </i>
    <i>
      <x v="20"/>
    </i>
    <i>
      <x v="52"/>
    </i>
    <i>
      <x v="23"/>
    </i>
    <i>
      <x v="78"/>
    </i>
    <i>
      <x v="82"/>
    </i>
    <i>
      <x v="48"/>
    </i>
    <i>
      <x v="94"/>
    </i>
    <i>
      <x v="9"/>
    </i>
    <i>
      <x v="33"/>
    </i>
    <i>
      <x v="61"/>
    </i>
    <i>
      <x v="32"/>
    </i>
    <i>
      <x v="43"/>
    </i>
    <i>
      <x v="27"/>
    </i>
    <i>
      <x v="72"/>
    </i>
    <i>
      <x v="14"/>
    </i>
    <i>
      <x v="87"/>
    </i>
    <i>
      <x v="2"/>
    </i>
    <i>
      <x v="70"/>
    </i>
    <i>
      <x v="98"/>
    </i>
    <i>
      <x v="21"/>
    </i>
    <i>
      <x v="50"/>
    </i>
    <i>
      <x v="3"/>
    </i>
    <i>
      <x v="44"/>
    </i>
    <i>
      <x v="73"/>
    </i>
    <i>
      <x v="39"/>
    </i>
    <i>
      <x v="59"/>
    </i>
    <i>
      <x v="34"/>
    </i>
    <i>
      <x v="80"/>
    </i>
    <i>
      <x v="31"/>
    </i>
    <i>
      <x v="5"/>
    </i>
    <i>
      <x v="45"/>
    </i>
    <i>
      <x v="66"/>
    </i>
    <i>
      <x v="85"/>
    </i>
    <i>
      <x v="64"/>
    </i>
    <i>
      <x v="65"/>
    </i>
    <i>
      <x v="17"/>
    </i>
    <i>
      <x v="97"/>
    </i>
    <i>
      <x v="42"/>
    </i>
    <i>
      <x v="12"/>
    </i>
    <i>
      <x v="15"/>
    </i>
    <i>
      <x v="60"/>
    </i>
    <i>
      <x v="19"/>
    </i>
    <i>
      <x v="68"/>
    </i>
    <i>
      <x v="46"/>
    </i>
    <i>
      <x v="36"/>
    </i>
    <i>
      <x/>
    </i>
    <i>
      <x v="40"/>
    </i>
    <i>
      <x v="4"/>
    </i>
    <i>
      <x v="18"/>
    </i>
    <i>
      <x v="58"/>
    </i>
    <i>
      <x v="11"/>
    </i>
    <i>
      <x v="37"/>
    </i>
    <i>
      <x v="67"/>
    </i>
    <i>
      <x v="71"/>
    </i>
    <i>
      <x v="75"/>
    </i>
    <i>
      <x v="26"/>
    </i>
    <i>
      <x v="57"/>
    </i>
    <i>
      <x v="38"/>
    </i>
    <i>
      <x v="92"/>
    </i>
    <i>
      <x v="88"/>
    </i>
    <i>
      <x v="53"/>
    </i>
    <i>
      <x v="25"/>
    </i>
    <i>
      <x v="79"/>
    </i>
    <i>
      <x v="86"/>
    </i>
    <i>
      <x v="1"/>
    </i>
    <i>
      <x v="3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bacardi_revenue" fld="2" baseField="0" baseItem="0" numFmtId="8"/>
    <dataField name="Sum of bacardi_revenue_per_capita" fld="5" baseField="0" baseItem="0" numFmtId="8"/>
  </dataFields>
  <formats count="3">
    <format dxfId="3">
      <pivotArea collapsedLevelsAreSubtotals="1" fieldPosition="0">
        <references count="2">
          <reference field="4294967294" count="1" selected="0">
            <x v="1"/>
          </reference>
          <reference field="0" count="1">
            <x v="56"/>
          </reference>
        </references>
      </pivotArea>
    </format>
    <format dxfId="2">
      <pivotArea collapsedLevelsAreSubtotals="1" fieldPosition="0">
        <references count="2">
          <reference field="4294967294" count="1" selected="0">
            <x v="1"/>
          </reference>
          <reference field="0" count="1">
            <x v="6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1"/>
          </reference>
          <reference field="0" count="1">
            <x v="2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83D8523-C8ED-4727-AE20-072B7FB5F329}" name="Table1" displayName="Table1" ref="A1:F100" totalsRowShown="0">
  <autoFilter ref="A1:F100" xr:uid="{983D8523-C8ED-4727-AE20-072B7FB5F329}"/>
  <sortState xmlns:xlrd2="http://schemas.microsoft.com/office/spreadsheetml/2017/richdata2" ref="A2:F100">
    <sortCondition descending="1" ref="C1:C100"/>
  </sortState>
  <tableColumns count="6">
    <tableColumn id="1" xr3:uid="{3B119417-A798-4DFE-8DF5-070C981E7B10}" name="county"/>
    <tableColumn id="2" xr3:uid="{17D6E388-C940-4B77-AF81-0DD867D274E8}" name="population"/>
    <tableColumn id="3" xr3:uid="{A4A1E547-4D15-4736-BF19-2D35E8294503}" name="bacardi_revenue" dataDxfId="19"/>
    <tableColumn id="4" xr3:uid="{28FFB984-004B-4FD2-BB07-41D67E077A42}" name="total_market_revenue" dataDxfId="18"/>
    <tableColumn id="5" xr3:uid="{098A1DA7-660D-4961-A93B-0F82D448927D}" name="bacardi_market_share_pct" dataDxfId="17">
      <calculatedColumnFormula>C2/D2*100</calculatedColumnFormula>
    </tableColumn>
    <tableColumn id="6" xr3:uid="{DD0D5946-CBFC-44F7-974B-C05B843016CA}" name="bacardi_revenue_per_capita" dataDxfId="16">
      <calculatedColumnFormula>C2/B2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61C1EA0-E225-4ABC-B3BB-96F6F7723D17}" name="Table2" displayName="Table2" ref="L1:Q67" totalsRowShown="0" headerRowDxfId="15" dataDxfId="13" headerRowBorderDxfId="14" tableBorderDxfId="12" totalsRowBorderDxfId="11">
  <autoFilter ref="L1:Q67" xr:uid="{061C1EA0-E225-4ABC-B3BB-96F6F7723D17}"/>
  <sortState xmlns:xlrd2="http://schemas.microsoft.com/office/spreadsheetml/2017/richdata2" ref="L2:Q67">
    <sortCondition descending="1" ref="Q1:Q67"/>
  </sortState>
  <tableColumns count="6">
    <tableColumn id="1" xr3:uid="{8E65B2CA-1843-4E1E-91F3-2CB1BAD44C6E}" name="county" dataDxfId="10"/>
    <tableColumn id="2" xr3:uid="{7200A321-9B92-4D9C-9FDB-BCD24474BD0E}" name="population" dataDxfId="9"/>
    <tableColumn id="3" xr3:uid="{5365F2DE-E05A-4460-A698-09A50770FD84}" name="bacardi_revenue" dataDxfId="8"/>
    <tableColumn id="4" xr3:uid="{A2C70378-0CA0-4A16-AB92-BB75A22A61D8}" name="total_market_revenue" dataDxfId="7"/>
    <tableColumn id="5" xr3:uid="{2B825ED9-0940-4CEF-A492-9DA22E0FE5D3}" name="bacardi_market_share_pct" dataDxfId="6">
      <calculatedColumnFormula>N2/O2*100</calculatedColumnFormula>
    </tableColumn>
    <tableColumn id="6" xr3:uid="{F10AE5A4-5B8E-4984-8D31-88A1C31F17B7}" name="bacardi_revenue_per_capita" dataDxfId="5">
      <calculatedColumnFormula>N2/M2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88510-D2D1-4769-ACA8-D0E796072DF5}">
  <dimension ref="A3:K103"/>
  <sheetViews>
    <sheetView workbookViewId="0">
      <selection activeCell="A15" sqref="A15"/>
    </sheetView>
  </sheetViews>
  <sheetFormatPr defaultRowHeight="15" x14ac:dyDescent="0.25"/>
  <cols>
    <col min="1" max="1" width="13.85546875" bestFit="1" customWidth="1"/>
    <col min="2" max="2" width="23" bestFit="1" customWidth="1"/>
    <col min="3" max="3" width="33.42578125" bestFit="1" customWidth="1"/>
    <col min="9" max="9" width="11.85546875" bestFit="1" customWidth="1"/>
  </cols>
  <sheetData>
    <row r="3" spans="1:11" x14ac:dyDescent="0.25">
      <c r="A3" s="17" t="s">
        <v>107</v>
      </c>
      <c r="B3" t="s">
        <v>109</v>
      </c>
      <c r="C3" t="s">
        <v>110</v>
      </c>
      <c r="E3" s="19" t="s">
        <v>107</v>
      </c>
      <c r="F3" s="19" t="s">
        <v>110</v>
      </c>
      <c r="G3" t="s">
        <v>111</v>
      </c>
      <c r="J3" s="19" t="s">
        <v>107</v>
      </c>
      <c r="K3" s="19" t="s">
        <v>110</v>
      </c>
    </row>
    <row r="4" spans="1:11" x14ac:dyDescent="0.25">
      <c r="A4" s="18" t="s">
        <v>89</v>
      </c>
      <c r="B4" s="1">
        <v>4998921</v>
      </c>
      <c r="C4" s="1">
        <v>11.608120471855843</v>
      </c>
      <c r="E4" s="18" t="s">
        <v>89</v>
      </c>
      <c r="F4" s="1">
        <v>11.608120471855843</v>
      </c>
      <c r="G4">
        <v>11.131634615058895</v>
      </c>
      <c r="J4" s="18" t="s">
        <v>89</v>
      </c>
      <c r="K4" s="1">
        <v>11.608120471855843</v>
      </c>
    </row>
    <row r="5" spans="1:11" x14ac:dyDescent="0.25">
      <c r="A5" s="18" t="s">
        <v>95</v>
      </c>
      <c r="B5" s="1">
        <v>1741874.47</v>
      </c>
      <c r="C5" s="1">
        <v>10.542502723575268</v>
      </c>
      <c r="E5" s="18" t="s">
        <v>95</v>
      </c>
      <c r="F5" s="1">
        <v>10.542502723575268</v>
      </c>
      <c r="G5">
        <v>11.131634615058895</v>
      </c>
      <c r="J5" s="18" t="s">
        <v>95</v>
      </c>
      <c r="K5" s="1">
        <v>10.542502723575268</v>
      </c>
    </row>
    <row r="6" spans="1:11" x14ac:dyDescent="0.25">
      <c r="A6" s="18" t="s">
        <v>70</v>
      </c>
      <c r="B6" s="1">
        <v>1692016.44</v>
      </c>
      <c r="C6" s="20">
        <v>8.0104553416719533</v>
      </c>
      <c r="E6" s="18" t="s">
        <v>70</v>
      </c>
      <c r="F6" s="20">
        <v>8.0104553416719533</v>
      </c>
      <c r="G6">
        <v>11.131634615058895</v>
      </c>
      <c r="J6" s="18" t="s">
        <v>93</v>
      </c>
      <c r="K6" s="1">
        <v>11.244280649745573</v>
      </c>
    </row>
    <row r="7" spans="1:11" x14ac:dyDescent="0.25">
      <c r="A7" s="18" t="s">
        <v>93</v>
      </c>
      <c r="B7" s="1">
        <v>1471673.94</v>
      </c>
      <c r="C7" s="1">
        <v>11.244280649745573</v>
      </c>
      <c r="E7" s="18" t="s">
        <v>93</v>
      </c>
      <c r="F7" s="1">
        <v>11.244280649745573</v>
      </c>
      <c r="G7">
        <v>11.131634615058895</v>
      </c>
      <c r="K7" s="1">
        <f>AVERAGE(K4:K6)</f>
        <v>11.131634615058895</v>
      </c>
    </row>
    <row r="8" spans="1:11" x14ac:dyDescent="0.25">
      <c r="A8" s="18" t="s">
        <v>77</v>
      </c>
      <c r="B8" s="1">
        <v>1169665.99</v>
      </c>
      <c r="C8" s="20">
        <v>8.9226179723853836</v>
      </c>
      <c r="E8" s="18" t="s">
        <v>77</v>
      </c>
      <c r="F8" s="20">
        <v>8.9226179723853836</v>
      </c>
      <c r="G8">
        <v>11.131634615058895</v>
      </c>
    </row>
    <row r="9" spans="1:11" x14ac:dyDescent="0.25">
      <c r="A9" s="18" t="s">
        <v>98</v>
      </c>
      <c r="B9" s="1">
        <v>807669.51</v>
      </c>
      <c r="C9" s="1">
        <v>8.6240644720404038</v>
      </c>
      <c r="F9" s="1">
        <f>AVERAGE(F4:F8)</f>
        <v>10.065595431846804</v>
      </c>
    </row>
    <row r="10" spans="1:11" x14ac:dyDescent="0.25">
      <c r="A10" s="18" t="s">
        <v>86</v>
      </c>
      <c r="B10" s="1">
        <v>795456.35</v>
      </c>
      <c r="C10" s="1">
        <v>8.5387873290538661</v>
      </c>
      <c r="E10" s="18"/>
      <c r="F10" s="18"/>
      <c r="G10" s="18"/>
    </row>
    <row r="11" spans="1:11" x14ac:dyDescent="0.25">
      <c r="A11" s="18" t="s">
        <v>85</v>
      </c>
      <c r="B11" s="1">
        <v>741883.15</v>
      </c>
      <c r="C11" s="1">
        <v>7.2611199741612182</v>
      </c>
      <c r="E11" s="18" t="s">
        <v>112</v>
      </c>
      <c r="F11" s="18"/>
      <c r="G11" s="18"/>
    </row>
    <row r="12" spans="1:11" x14ac:dyDescent="0.25">
      <c r="A12" s="18" t="s">
        <v>91</v>
      </c>
      <c r="B12" s="1">
        <v>712537.51</v>
      </c>
      <c r="C12" s="1">
        <v>7.9575786781622035</v>
      </c>
      <c r="E12" s="18"/>
      <c r="F12" s="18"/>
      <c r="G12" s="18"/>
    </row>
    <row r="13" spans="1:11" x14ac:dyDescent="0.25">
      <c r="A13" s="18" t="s">
        <v>103</v>
      </c>
      <c r="B13" s="1">
        <v>623742.77</v>
      </c>
      <c r="C13" s="1">
        <v>9.4313566190368192</v>
      </c>
      <c r="E13" s="18" t="s">
        <v>70</v>
      </c>
      <c r="F13" s="20">
        <v>8.0104553416719533</v>
      </c>
      <c r="G13">
        <v>11.131634615058895</v>
      </c>
      <c r="H13" s="16">
        <v>211226</v>
      </c>
      <c r="I13" s="1">
        <f>(G13-F13)*H13</f>
        <v>659274.21320043004</v>
      </c>
    </row>
    <row r="14" spans="1:11" x14ac:dyDescent="0.25">
      <c r="A14" s="18" t="s">
        <v>82</v>
      </c>
      <c r="B14" s="1">
        <v>424916.52</v>
      </c>
      <c r="C14" s="1">
        <v>9.6241652510701918</v>
      </c>
      <c r="E14" s="18" t="s">
        <v>77</v>
      </c>
      <c r="F14" s="20">
        <v>8.9226179723853836</v>
      </c>
      <c r="G14">
        <v>11.131634615058895</v>
      </c>
      <c r="H14" s="16">
        <v>131090</v>
      </c>
      <c r="I14" s="1">
        <f>(G14-F14)*H14</f>
        <v>289579.99168807053</v>
      </c>
    </row>
    <row r="15" spans="1:11" x14ac:dyDescent="0.25">
      <c r="A15" s="18" t="s">
        <v>99</v>
      </c>
      <c r="B15" s="1">
        <v>355642.88</v>
      </c>
      <c r="C15" s="21">
        <v>21.338146037079259</v>
      </c>
      <c r="I15" s="22">
        <f>SUM(I13:I14)</f>
        <v>948854.20488850051</v>
      </c>
    </row>
    <row r="16" spans="1:11" x14ac:dyDescent="0.25">
      <c r="A16" s="18" t="s">
        <v>84</v>
      </c>
      <c r="B16" s="1">
        <v>284021.71999999997</v>
      </c>
      <c r="C16" s="1">
        <v>7.0433160570365771</v>
      </c>
    </row>
    <row r="17" spans="1:3" x14ac:dyDescent="0.25">
      <c r="A17" s="18" t="s">
        <v>90</v>
      </c>
      <c r="B17" s="1">
        <v>281625.43</v>
      </c>
      <c r="C17" s="1">
        <v>5.733883663164753</v>
      </c>
    </row>
    <row r="18" spans="1:3" x14ac:dyDescent="0.25">
      <c r="A18" s="18" t="s">
        <v>94</v>
      </c>
      <c r="B18" s="1">
        <v>273652.39</v>
      </c>
      <c r="C18" s="1">
        <v>6.4019742659960235</v>
      </c>
    </row>
    <row r="19" spans="1:3" x14ac:dyDescent="0.25">
      <c r="A19" s="18" t="s">
        <v>75</v>
      </c>
      <c r="B19" s="1">
        <v>244011.46</v>
      </c>
      <c r="C19" s="1">
        <v>6.804178796497685</v>
      </c>
    </row>
    <row r="20" spans="1:3" x14ac:dyDescent="0.25">
      <c r="A20" s="18" t="s">
        <v>101</v>
      </c>
      <c r="B20" s="1">
        <v>237758.59</v>
      </c>
      <c r="C20" s="1">
        <v>11.421915353574173</v>
      </c>
    </row>
    <row r="21" spans="1:3" x14ac:dyDescent="0.25">
      <c r="A21" s="18" t="s">
        <v>81</v>
      </c>
      <c r="B21" s="1">
        <v>229378.44</v>
      </c>
      <c r="C21" s="1">
        <v>6.03421040170468</v>
      </c>
    </row>
    <row r="22" spans="1:3" x14ac:dyDescent="0.25">
      <c r="A22" s="18" t="s">
        <v>52</v>
      </c>
      <c r="B22" s="1">
        <v>171773.87</v>
      </c>
      <c r="C22" s="1">
        <v>4.2258873745325722</v>
      </c>
    </row>
    <row r="23" spans="1:3" x14ac:dyDescent="0.25">
      <c r="A23" s="18" t="s">
        <v>50</v>
      </c>
      <c r="B23" s="1">
        <v>150752.51</v>
      </c>
      <c r="C23" s="1">
        <v>4.2316494035087722</v>
      </c>
    </row>
    <row r="24" spans="1:3" x14ac:dyDescent="0.25">
      <c r="A24" s="18" t="s">
        <v>76</v>
      </c>
      <c r="B24" s="1">
        <v>139313.35999999999</v>
      </c>
      <c r="C24" s="1">
        <v>4.1824539914137313</v>
      </c>
    </row>
    <row r="25" spans="1:3" x14ac:dyDescent="0.25">
      <c r="A25" s="18" t="s">
        <v>96</v>
      </c>
      <c r="B25" s="1">
        <v>129679.32</v>
      </c>
      <c r="C25" s="1">
        <v>3.8475943508188939</v>
      </c>
    </row>
    <row r="26" spans="1:3" x14ac:dyDescent="0.25">
      <c r="A26" s="18" t="s">
        <v>78</v>
      </c>
      <c r="B26" s="1">
        <v>126461.18</v>
      </c>
      <c r="C26" s="1">
        <v>6.2419141164856855</v>
      </c>
    </row>
    <row r="27" spans="1:3" x14ac:dyDescent="0.25">
      <c r="A27" s="18" t="s">
        <v>68</v>
      </c>
      <c r="B27" s="1">
        <v>124040.4</v>
      </c>
      <c r="C27" s="1">
        <v>7.0742785445420324</v>
      </c>
    </row>
    <row r="28" spans="1:3" x14ac:dyDescent="0.25">
      <c r="A28" s="18" t="s">
        <v>69</v>
      </c>
      <c r="B28" s="1">
        <v>121325.16</v>
      </c>
      <c r="C28" s="1">
        <v>4.9977409787444387</v>
      </c>
    </row>
    <row r="29" spans="1:3" x14ac:dyDescent="0.25">
      <c r="A29" s="18" t="s">
        <v>34</v>
      </c>
      <c r="B29" s="1">
        <v>113032.02</v>
      </c>
      <c r="C29" s="1">
        <v>2.4452573282855599</v>
      </c>
    </row>
    <row r="30" spans="1:3" x14ac:dyDescent="0.25">
      <c r="A30" s="18" t="s">
        <v>88</v>
      </c>
      <c r="B30" s="1">
        <v>110873.07</v>
      </c>
      <c r="C30" s="1">
        <v>5.2656283244680857</v>
      </c>
    </row>
    <row r="31" spans="1:3" x14ac:dyDescent="0.25">
      <c r="A31" s="18" t="s">
        <v>57</v>
      </c>
      <c r="B31" s="1">
        <v>109020.44</v>
      </c>
      <c r="C31" s="1">
        <v>7.01411825258959</v>
      </c>
    </row>
    <row r="32" spans="1:3" x14ac:dyDescent="0.25">
      <c r="A32" s="18" t="s">
        <v>55</v>
      </c>
      <c r="B32" s="1">
        <v>103743.97</v>
      </c>
      <c r="C32" s="1">
        <v>3.9437379305101499</v>
      </c>
    </row>
    <row r="33" spans="1:3" x14ac:dyDescent="0.25">
      <c r="A33" s="18" t="s">
        <v>73</v>
      </c>
      <c r="B33" s="1">
        <v>101337.46</v>
      </c>
      <c r="C33" s="1">
        <v>4.6690683744931816</v>
      </c>
    </row>
    <row r="34" spans="1:3" x14ac:dyDescent="0.25">
      <c r="A34" s="18" t="s">
        <v>62</v>
      </c>
      <c r="B34" s="1">
        <v>101092.47</v>
      </c>
      <c r="C34" s="1">
        <v>6.1811354325894223</v>
      </c>
    </row>
    <row r="35" spans="1:3" x14ac:dyDescent="0.25">
      <c r="A35" s="18" t="s">
        <v>42</v>
      </c>
      <c r="B35" s="1">
        <v>99564.47</v>
      </c>
      <c r="C35" s="1">
        <v>2.7024719070625918</v>
      </c>
    </row>
    <row r="36" spans="1:3" x14ac:dyDescent="0.25">
      <c r="A36" s="18" t="s">
        <v>58</v>
      </c>
      <c r="B36" s="1">
        <v>98421.36</v>
      </c>
      <c r="C36" s="1">
        <v>3.9390602737533018</v>
      </c>
    </row>
    <row r="37" spans="1:3" x14ac:dyDescent="0.25">
      <c r="A37" s="18" t="s">
        <v>56</v>
      </c>
      <c r="B37" s="1">
        <v>91847.67</v>
      </c>
      <c r="C37" s="1">
        <v>5.5107499850002997</v>
      </c>
    </row>
    <row r="38" spans="1:3" x14ac:dyDescent="0.25">
      <c r="A38" s="18" t="s">
        <v>79</v>
      </c>
      <c r="B38" s="1">
        <v>83683.67</v>
      </c>
      <c r="C38" s="1">
        <v>4.0548342862680489</v>
      </c>
    </row>
    <row r="39" spans="1:3" x14ac:dyDescent="0.25">
      <c r="A39" s="18" t="s">
        <v>41</v>
      </c>
      <c r="B39" s="1">
        <v>76806.28</v>
      </c>
      <c r="C39" s="1">
        <v>4.4926462330369681</v>
      </c>
    </row>
    <row r="40" spans="1:3" x14ac:dyDescent="0.25">
      <c r="A40" s="18" t="s">
        <v>32</v>
      </c>
      <c r="B40" s="1">
        <v>74442.75</v>
      </c>
      <c r="C40" s="1">
        <v>3.9358543935708998</v>
      </c>
    </row>
    <row r="41" spans="1:3" x14ac:dyDescent="0.25">
      <c r="A41" s="18" t="s">
        <v>92</v>
      </c>
      <c r="B41" s="1">
        <v>68370.03</v>
      </c>
      <c r="C41" s="1">
        <v>5.6193005671077501</v>
      </c>
    </row>
    <row r="42" spans="1:3" x14ac:dyDescent="0.25">
      <c r="A42" s="18" t="s">
        <v>39</v>
      </c>
      <c r="B42" s="1">
        <v>66948.39</v>
      </c>
      <c r="C42" s="1">
        <v>3.3730547158403867</v>
      </c>
    </row>
    <row r="43" spans="1:3" x14ac:dyDescent="0.25">
      <c r="A43" s="18" t="s">
        <v>97</v>
      </c>
      <c r="B43" s="1">
        <v>65038.49</v>
      </c>
      <c r="C43" s="1">
        <v>5.985504325418737</v>
      </c>
    </row>
    <row r="44" spans="1:3" x14ac:dyDescent="0.25">
      <c r="A44" s="18" t="s">
        <v>27</v>
      </c>
      <c r="B44" s="1">
        <v>63235.22</v>
      </c>
      <c r="C44" s="1">
        <v>3.0172354232274072</v>
      </c>
    </row>
    <row r="45" spans="1:3" x14ac:dyDescent="0.25">
      <c r="A45" s="18" t="s">
        <v>46</v>
      </c>
      <c r="B45" s="1">
        <v>62743.6</v>
      </c>
      <c r="C45" s="1">
        <v>3.84859228362878</v>
      </c>
    </row>
    <row r="46" spans="1:3" x14ac:dyDescent="0.25">
      <c r="A46" s="18" t="s">
        <v>61</v>
      </c>
      <c r="B46" s="1">
        <v>62480.56</v>
      </c>
      <c r="C46" s="1">
        <v>2.7916786560028592</v>
      </c>
    </row>
    <row r="47" spans="1:3" x14ac:dyDescent="0.25">
      <c r="A47" s="18" t="s">
        <v>33</v>
      </c>
      <c r="B47" s="1">
        <v>61733.24</v>
      </c>
      <c r="C47" s="1">
        <v>2.9565727969348656</v>
      </c>
    </row>
    <row r="48" spans="1:3" x14ac:dyDescent="0.25">
      <c r="A48" s="18" t="s">
        <v>40</v>
      </c>
      <c r="B48" s="1">
        <v>60484.77</v>
      </c>
      <c r="C48" s="1">
        <v>3.002470588235294</v>
      </c>
    </row>
    <row r="49" spans="1:3" x14ac:dyDescent="0.25">
      <c r="A49" s="18" t="s">
        <v>65</v>
      </c>
      <c r="B49" s="1">
        <v>59983.69</v>
      </c>
      <c r="C49" s="1">
        <v>3.3766995046160777</v>
      </c>
    </row>
    <row r="50" spans="1:3" x14ac:dyDescent="0.25">
      <c r="A50" s="18" t="s">
        <v>30</v>
      </c>
      <c r="B50" s="1">
        <v>57715.61</v>
      </c>
      <c r="C50" s="1">
        <v>3.6226217675119257</v>
      </c>
    </row>
    <row r="51" spans="1:3" x14ac:dyDescent="0.25">
      <c r="A51" s="18" t="s">
        <v>36</v>
      </c>
      <c r="B51" s="1">
        <v>57464.92</v>
      </c>
      <c r="C51" s="1">
        <v>4.1175781026081975</v>
      </c>
    </row>
    <row r="52" spans="1:3" x14ac:dyDescent="0.25">
      <c r="A52" s="18" t="s">
        <v>43</v>
      </c>
      <c r="B52" s="1">
        <v>52390.8</v>
      </c>
      <c r="C52" s="1">
        <v>4.1798946864528483</v>
      </c>
    </row>
    <row r="53" spans="1:3" x14ac:dyDescent="0.25">
      <c r="A53" s="18" t="s">
        <v>63</v>
      </c>
      <c r="B53" s="1">
        <v>51494.400000000001</v>
      </c>
      <c r="C53" s="1">
        <v>3.5934682484298675</v>
      </c>
    </row>
    <row r="54" spans="1:3" x14ac:dyDescent="0.25">
      <c r="A54" s="18" t="s">
        <v>17</v>
      </c>
      <c r="B54" s="1">
        <v>49562.45</v>
      </c>
      <c r="C54" s="1">
        <v>3.4423149048478954</v>
      </c>
    </row>
    <row r="55" spans="1:3" x14ac:dyDescent="0.25">
      <c r="A55" s="18" t="s">
        <v>66</v>
      </c>
      <c r="B55" s="1">
        <v>46853.14</v>
      </c>
      <c r="C55" s="1">
        <v>3.5416992969990173</v>
      </c>
    </row>
    <row r="56" spans="1:3" x14ac:dyDescent="0.25">
      <c r="A56" s="18" t="s">
        <v>64</v>
      </c>
      <c r="B56" s="1">
        <v>46359.44</v>
      </c>
      <c r="C56" s="1">
        <v>2.557197859782669</v>
      </c>
    </row>
    <row r="57" spans="1:3" x14ac:dyDescent="0.25">
      <c r="A57" s="18" t="s">
        <v>49</v>
      </c>
      <c r="B57" s="1">
        <v>46136.17</v>
      </c>
      <c r="C57" s="1">
        <v>2.739189574303865</v>
      </c>
    </row>
    <row r="58" spans="1:3" x14ac:dyDescent="0.25">
      <c r="A58" s="18" t="s">
        <v>53</v>
      </c>
      <c r="B58" s="1">
        <v>45914.71</v>
      </c>
      <c r="C58" s="1">
        <v>3.5636999379074821</v>
      </c>
    </row>
    <row r="59" spans="1:3" x14ac:dyDescent="0.25">
      <c r="A59" s="18" t="s">
        <v>48</v>
      </c>
      <c r="B59" s="1">
        <v>44911.51</v>
      </c>
      <c r="C59" s="1">
        <v>4.6949100982646881</v>
      </c>
    </row>
    <row r="60" spans="1:3" x14ac:dyDescent="0.25">
      <c r="A60" s="18" t="s">
        <v>67</v>
      </c>
      <c r="B60" s="1">
        <v>44902.11</v>
      </c>
      <c r="C60" s="1">
        <v>4.7661723808512901</v>
      </c>
    </row>
    <row r="61" spans="1:3" x14ac:dyDescent="0.25">
      <c r="A61" s="18" t="s">
        <v>25</v>
      </c>
      <c r="B61" s="1">
        <v>40060.33</v>
      </c>
      <c r="C61" s="1">
        <v>2.5560090601671668</v>
      </c>
    </row>
    <row r="62" spans="1:3" x14ac:dyDescent="0.25">
      <c r="A62" s="18" t="s">
        <v>38</v>
      </c>
      <c r="B62" s="1">
        <v>39498.199999999997</v>
      </c>
      <c r="C62" s="1">
        <v>3.410603574820827</v>
      </c>
    </row>
    <row r="63" spans="1:3" x14ac:dyDescent="0.25">
      <c r="A63" s="18" t="s">
        <v>83</v>
      </c>
      <c r="B63" s="1">
        <v>37829.24</v>
      </c>
      <c r="C63" s="1">
        <v>3.5420636704119848</v>
      </c>
    </row>
    <row r="64" spans="1:3" x14ac:dyDescent="0.25">
      <c r="A64" s="18" t="s">
        <v>74</v>
      </c>
      <c r="B64" s="1">
        <v>37155.68</v>
      </c>
      <c r="C64" s="1">
        <v>3.5899207729468601</v>
      </c>
    </row>
    <row r="65" spans="1:3" x14ac:dyDescent="0.25">
      <c r="A65" s="18" t="s">
        <v>59</v>
      </c>
      <c r="B65" s="1">
        <v>36939.01</v>
      </c>
      <c r="C65" s="1">
        <v>3.5856154144826249</v>
      </c>
    </row>
    <row r="66" spans="1:3" x14ac:dyDescent="0.25">
      <c r="A66" s="18" t="s">
        <v>31</v>
      </c>
      <c r="B66" s="1">
        <v>35458.29</v>
      </c>
      <c r="C66" s="1">
        <v>1.3598055683387023</v>
      </c>
    </row>
    <row r="67" spans="1:3" x14ac:dyDescent="0.25">
      <c r="A67" s="18" t="s">
        <v>35</v>
      </c>
      <c r="B67" s="1">
        <v>35280.74</v>
      </c>
      <c r="C67" s="1">
        <v>3.5945736118186447</v>
      </c>
    </row>
    <row r="68" spans="1:3" x14ac:dyDescent="0.25">
      <c r="A68" s="18" t="s">
        <v>60</v>
      </c>
      <c r="B68" s="1">
        <v>34907.31</v>
      </c>
      <c r="C68" s="1">
        <v>3.7766212268743913</v>
      </c>
    </row>
    <row r="69" spans="1:3" x14ac:dyDescent="0.25">
      <c r="A69" s="18" t="s">
        <v>45</v>
      </c>
      <c r="B69" s="1">
        <v>34468.89</v>
      </c>
      <c r="C69" s="1">
        <v>1.9400512185512466</v>
      </c>
    </row>
    <row r="70" spans="1:3" x14ac:dyDescent="0.25">
      <c r="A70" s="18" t="s">
        <v>80</v>
      </c>
      <c r="B70" s="1">
        <v>32333.08</v>
      </c>
      <c r="C70" s="1">
        <v>2.147093432498838</v>
      </c>
    </row>
    <row r="71" spans="1:3" x14ac:dyDescent="0.25">
      <c r="A71" s="18" t="s">
        <v>71</v>
      </c>
      <c r="B71" s="1">
        <v>31717.83</v>
      </c>
      <c r="C71" s="1">
        <v>2.9433769487750556</v>
      </c>
    </row>
    <row r="72" spans="1:3" x14ac:dyDescent="0.25">
      <c r="A72" s="18" t="s">
        <v>18</v>
      </c>
      <c r="B72" s="1">
        <v>28436.58</v>
      </c>
      <c r="C72" s="1">
        <v>2.3555815109343938</v>
      </c>
    </row>
    <row r="73" spans="1:3" x14ac:dyDescent="0.25">
      <c r="A73" s="18" t="s">
        <v>104</v>
      </c>
      <c r="B73" s="1">
        <v>27787.5</v>
      </c>
      <c r="C73" s="1">
        <v>3.6572124243221902</v>
      </c>
    </row>
    <row r="74" spans="1:3" x14ac:dyDescent="0.25">
      <c r="A74" s="18" t="s">
        <v>54</v>
      </c>
      <c r="B74" s="1">
        <v>27614.22</v>
      </c>
      <c r="C74" s="1">
        <v>1.8498271704180065</v>
      </c>
    </row>
    <row r="75" spans="1:3" x14ac:dyDescent="0.25">
      <c r="A75" s="18" t="s">
        <v>87</v>
      </c>
      <c r="B75" s="1">
        <v>27261.48</v>
      </c>
      <c r="C75" s="1">
        <v>2.8191809720785934</v>
      </c>
    </row>
    <row r="76" spans="1:3" x14ac:dyDescent="0.25">
      <c r="A76" s="18" t="s">
        <v>28</v>
      </c>
      <c r="B76" s="1">
        <v>27141.01</v>
      </c>
      <c r="C76" s="1">
        <v>1.4671609276177089</v>
      </c>
    </row>
    <row r="77" spans="1:3" x14ac:dyDescent="0.25">
      <c r="A77" s="18" t="s">
        <v>22</v>
      </c>
      <c r="B77" s="1">
        <v>26196.1</v>
      </c>
      <c r="C77" s="1">
        <v>1.6707761974615727</v>
      </c>
    </row>
    <row r="78" spans="1:3" x14ac:dyDescent="0.25">
      <c r="A78" s="18" t="s">
        <v>23</v>
      </c>
      <c r="B78" s="1">
        <v>26126.79</v>
      </c>
      <c r="C78" s="1">
        <v>2.8135677363773421</v>
      </c>
    </row>
    <row r="79" spans="1:3" x14ac:dyDescent="0.25">
      <c r="A79" s="18" t="s">
        <v>21</v>
      </c>
      <c r="B79" s="1">
        <v>25670.92</v>
      </c>
      <c r="C79" s="1">
        <v>2.3902160148975788</v>
      </c>
    </row>
    <row r="80" spans="1:3" x14ac:dyDescent="0.25">
      <c r="A80" s="18" t="s">
        <v>47</v>
      </c>
      <c r="B80" s="1">
        <v>24214.49</v>
      </c>
      <c r="C80" s="1">
        <v>3.4157836084073918</v>
      </c>
    </row>
    <row r="81" spans="1:3" x14ac:dyDescent="0.25">
      <c r="A81" s="18" t="s">
        <v>51</v>
      </c>
      <c r="B81" s="1">
        <v>22717.33</v>
      </c>
      <c r="C81" s="1">
        <v>2.43330441302485</v>
      </c>
    </row>
    <row r="82" spans="1:3" x14ac:dyDescent="0.25">
      <c r="A82" s="18" t="s">
        <v>29</v>
      </c>
      <c r="B82" s="1">
        <v>21515.54</v>
      </c>
      <c r="C82" s="1">
        <v>2.8007732361364228</v>
      </c>
    </row>
    <row r="83" spans="1:3" x14ac:dyDescent="0.25">
      <c r="A83" s="18" t="s">
        <v>72</v>
      </c>
      <c r="B83" s="1">
        <v>19724.16</v>
      </c>
      <c r="C83" s="1">
        <v>1.739190547570761</v>
      </c>
    </row>
    <row r="84" spans="1:3" x14ac:dyDescent="0.25">
      <c r="A84" s="18" t="s">
        <v>102</v>
      </c>
      <c r="B84" s="1">
        <v>18226.759999999998</v>
      </c>
      <c r="C84" s="1">
        <v>2.9787154763850299</v>
      </c>
    </row>
    <row r="85" spans="1:3" x14ac:dyDescent="0.25">
      <c r="A85" s="18" t="s">
        <v>19</v>
      </c>
      <c r="B85" s="1">
        <v>16101.61</v>
      </c>
      <c r="C85" s="1">
        <v>1.2944456949915588</v>
      </c>
    </row>
    <row r="86" spans="1:3" x14ac:dyDescent="0.25">
      <c r="A86" s="18" t="s">
        <v>15</v>
      </c>
      <c r="B86" s="1">
        <v>15618.24</v>
      </c>
      <c r="C86" s="1">
        <v>1.7552528658125421</v>
      </c>
    </row>
    <row r="87" spans="1:3" x14ac:dyDescent="0.25">
      <c r="A87" s="18" t="s">
        <v>26</v>
      </c>
      <c r="B87" s="1">
        <v>12890.83</v>
      </c>
      <c r="C87" s="1">
        <v>0.86707674715813543</v>
      </c>
    </row>
    <row r="88" spans="1:3" x14ac:dyDescent="0.25">
      <c r="A88" s="18" t="s">
        <v>20</v>
      </c>
      <c r="B88" s="1">
        <v>12181.99</v>
      </c>
      <c r="C88" s="1">
        <v>0.97823737252067777</v>
      </c>
    </row>
    <row r="89" spans="1:3" x14ac:dyDescent="0.25">
      <c r="A89" s="18" t="s">
        <v>16</v>
      </c>
      <c r="B89" s="1">
        <v>11394.74</v>
      </c>
      <c r="C89" s="1">
        <v>1.4297038895859473</v>
      </c>
    </row>
    <row r="90" spans="1:3" x14ac:dyDescent="0.25">
      <c r="A90" s="18" t="s">
        <v>24</v>
      </c>
      <c r="B90" s="1">
        <v>11060.08</v>
      </c>
      <c r="C90" s="1">
        <v>1.7115567935623646</v>
      </c>
    </row>
    <row r="91" spans="1:3" x14ac:dyDescent="0.25">
      <c r="A91" s="18" t="s">
        <v>8</v>
      </c>
      <c r="B91" s="1">
        <v>10341.44</v>
      </c>
      <c r="C91" s="1">
        <v>1.4146976744186046</v>
      </c>
    </row>
    <row r="92" spans="1:3" x14ac:dyDescent="0.25">
      <c r="A92" s="18" t="s">
        <v>37</v>
      </c>
      <c r="B92" s="1">
        <v>9401.85</v>
      </c>
      <c r="C92" s="1">
        <v>1.1117240156083719</v>
      </c>
    </row>
    <row r="93" spans="1:3" x14ac:dyDescent="0.25">
      <c r="A93" s="18" t="s">
        <v>13</v>
      </c>
      <c r="B93" s="1">
        <v>9257.56</v>
      </c>
      <c r="C93" s="1">
        <v>0.81299376481953101</v>
      </c>
    </row>
    <row r="94" spans="1:3" x14ac:dyDescent="0.25">
      <c r="A94" s="18" t="s">
        <v>10</v>
      </c>
      <c r="B94" s="1">
        <v>8675.94</v>
      </c>
      <c r="C94" s="1">
        <v>0.7920339601971883</v>
      </c>
    </row>
    <row r="95" spans="1:3" x14ac:dyDescent="0.25">
      <c r="A95" s="18" t="s">
        <v>100</v>
      </c>
      <c r="B95" s="1">
        <v>7228.42</v>
      </c>
      <c r="C95" s="1">
        <v>1.1289114477588631</v>
      </c>
    </row>
    <row r="96" spans="1:3" x14ac:dyDescent="0.25">
      <c r="A96" s="18" t="s">
        <v>12</v>
      </c>
      <c r="B96" s="1">
        <v>6070.76</v>
      </c>
      <c r="C96" s="1">
        <v>0.80194980184940556</v>
      </c>
    </row>
    <row r="97" spans="1:3" x14ac:dyDescent="0.25">
      <c r="A97" s="18" t="s">
        <v>14</v>
      </c>
      <c r="B97" s="1">
        <v>5639.28</v>
      </c>
      <c r="C97" s="1">
        <v>0.53651222528779374</v>
      </c>
    </row>
    <row r="98" spans="1:3" x14ac:dyDescent="0.25">
      <c r="A98" s="18" t="s">
        <v>44</v>
      </c>
      <c r="B98" s="1">
        <v>5526.74</v>
      </c>
      <c r="C98" s="1">
        <v>0.63141094481891924</v>
      </c>
    </row>
    <row r="99" spans="1:3" x14ac:dyDescent="0.25">
      <c r="A99" s="18" t="s">
        <v>11</v>
      </c>
      <c r="B99" s="1">
        <v>4534.01</v>
      </c>
      <c r="C99" s="1">
        <v>0.88365036055349844</v>
      </c>
    </row>
    <row r="100" spans="1:3" x14ac:dyDescent="0.25">
      <c r="A100" s="18" t="s">
        <v>6</v>
      </c>
      <c r="B100" s="1">
        <v>2640.79</v>
      </c>
      <c r="C100" s="1">
        <v>0.41804495804970715</v>
      </c>
    </row>
    <row r="101" spans="1:3" x14ac:dyDescent="0.25">
      <c r="A101" s="18" t="s">
        <v>9</v>
      </c>
      <c r="B101" s="1">
        <v>2608.64</v>
      </c>
      <c r="C101" s="1">
        <v>0.64746587242491926</v>
      </c>
    </row>
    <row r="102" spans="1:3" x14ac:dyDescent="0.25">
      <c r="A102" s="18" t="s">
        <v>7</v>
      </c>
      <c r="B102" s="1">
        <v>324</v>
      </c>
      <c r="C102" s="1">
        <v>4.3542534605563767E-2</v>
      </c>
    </row>
    <row r="103" spans="1:3" x14ac:dyDescent="0.25">
      <c r="A103" s="18" t="s">
        <v>108</v>
      </c>
      <c r="B103" s="1">
        <v>21198161.640000008</v>
      </c>
      <c r="C103" s="1">
        <v>412.38484691779973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2B738-6239-4F44-A0E3-4FF998BF97B5}">
  <dimension ref="A1:Q100"/>
  <sheetViews>
    <sheetView tabSelected="1" workbookViewId="0">
      <selection activeCell="F100" activeCellId="1" sqref="B1:B100 F1:F100"/>
    </sheetView>
  </sheetViews>
  <sheetFormatPr defaultRowHeight="15" x14ac:dyDescent="0.25"/>
  <cols>
    <col min="1" max="1" width="13.85546875" bestFit="1" customWidth="1"/>
    <col min="2" max="2" width="12.85546875" customWidth="1"/>
    <col min="3" max="3" width="18" customWidth="1"/>
    <col min="4" max="4" width="22.7109375" customWidth="1"/>
    <col min="5" max="5" width="26.42578125" customWidth="1"/>
    <col min="6" max="6" width="28.140625" customWidth="1"/>
    <col min="8" max="8" width="18.28515625" bestFit="1" customWidth="1"/>
    <col min="10" max="10" width="15" bestFit="1" customWidth="1"/>
    <col min="12" max="12" width="9.28515625" customWidth="1"/>
    <col min="13" max="13" width="12.85546875" customWidth="1"/>
    <col min="14" max="14" width="18" customWidth="1"/>
    <col min="15" max="15" width="22.7109375" customWidth="1"/>
    <col min="16" max="16" width="26.42578125" customWidth="1"/>
    <col min="17" max="17" width="28.1406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105</v>
      </c>
      <c r="J1" t="s">
        <v>106</v>
      </c>
      <c r="L1" s="10" t="s">
        <v>0</v>
      </c>
      <c r="M1" s="10" t="s">
        <v>1</v>
      </c>
      <c r="N1" s="10" t="s">
        <v>2</v>
      </c>
      <c r="O1" s="10" t="s">
        <v>3</v>
      </c>
      <c r="P1" s="10" t="s">
        <v>4</v>
      </c>
      <c r="Q1" s="10" t="s">
        <v>5</v>
      </c>
    </row>
    <row r="2" spans="1:17" x14ac:dyDescent="0.25">
      <c r="A2" s="3" t="s">
        <v>89</v>
      </c>
      <c r="B2">
        <v>430640</v>
      </c>
      <c r="C2" s="1">
        <v>4998921</v>
      </c>
      <c r="D2" s="1">
        <v>86397461.790000007</v>
      </c>
      <c r="E2" s="2">
        <f t="shared" ref="E2:E33" si="0">C2/D2*100</f>
        <v>5.7859581710288106</v>
      </c>
      <c r="F2" s="1">
        <f t="shared" ref="F2:F33" si="1">C2/B2</f>
        <v>11.608120471855843</v>
      </c>
      <c r="H2">
        <f>AVERAGE(Table1[bacardi_market_share_pct])</f>
        <v>4.4281812044640505</v>
      </c>
      <c r="J2">
        <f>AVERAGE(Table1[bacardi_revenue_per_capita])</f>
        <v>4.1655035042201991</v>
      </c>
      <c r="L2" s="7" t="s">
        <v>76</v>
      </c>
      <c r="M2" s="7">
        <v>33309</v>
      </c>
      <c r="N2" s="8">
        <v>139313.35999999999</v>
      </c>
      <c r="O2" s="8">
        <v>2779364.89</v>
      </c>
      <c r="P2" s="9">
        <f t="shared" ref="P2:P33" si="2">N2/O2*100</f>
        <v>5.0124170633816991</v>
      </c>
      <c r="Q2" s="8">
        <f t="shared" ref="Q2:Q33" si="3">N2/M2</f>
        <v>4.1824539914137313</v>
      </c>
    </row>
    <row r="3" spans="1:17" x14ac:dyDescent="0.25">
      <c r="A3" s="3" t="s">
        <v>95</v>
      </c>
      <c r="B3">
        <v>165224</v>
      </c>
      <c r="C3" s="1">
        <v>1741874.47</v>
      </c>
      <c r="D3" s="1">
        <v>27902848.670000002</v>
      </c>
      <c r="E3" s="2">
        <f t="shared" si="0"/>
        <v>6.2426402787783886</v>
      </c>
      <c r="F3" s="1">
        <f t="shared" si="1"/>
        <v>10.542502723575268</v>
      </c>
      <c r="L3" s="7" t="s">
        <v>43</v>
      </c>
      <c r="M3" s="7">
        <v>12534</v>
      </c>
      <c r="N3" s="8">
        <v>52390.8</v>
      </c>
      <c r="O3" s="8">
        <v>1337091.6299999999</v>
      </c>
      <c r="P3" s="9">
        <f t="shared" si="2"/>
        <v>3.9182654968829631</v>
      </c>
      <c r="Q3" s="8">
        <f t="shared" si="3"/>
        <v>4.1798946864528483</v>
      </c>
    </row>
    <row r="4" spans="1:17" x14ac:dyDescent="0.25">
      <c r="A4" s="3" t="s">
        <v>70</v>
      </c>
      <c r="B4">
        <v>211226</v>
      </c>
      <c r="C4" s="1">
        <v>1692016.44</v>
      </c>
      <c r="D4" s="1">
        <v>34460047.490000002</v>
      </c>
      <c r="E4" s="2">
        <f t="shared" si="0"/>
        <v>4.9100815676211944</v>
      </c>
      <c r="F4" s="1">
        <f t="shared" si="1"/>
        <v>8.0104553416719533</v>
      </c>
      <c r="L4" s="7" t="s">
        <v>36</v>
      </c>
      <c r="M4" s="7">
        <v>13956</v>
      </c>
      <c r="N4" s="8">
        <v>57464.92</v>
      </c>
      <c r="O4" s="8">
        <v>1527535.95</v>
      </c>
      <c r="P4" s="9">
        <f t="shared" si="2"/>
        <v>3.7619356847215282</v>
      </c>
      <c r="Q4" s="8">
        <f t="shared" si="3"/>
        <v>4.1175781026081975</v>
      </c>
    </row>
    <row r="5" spans="1:17" x14ac:dyDescent="0.25">
      <c r="A5" s="3" t="s">
        <v>93</v>
      </c>
      <c r="B5">
        <v>130882</v>
      </c>
      <c r="C5" s="1">
        <v>1471673.94</v>
      </c>
      <c r="D5" s="1">
        <v>24200402.25</v>
      </c>
      <c r="E5" s="2">
        <f t="shared" si="0"/>
        <v>6.0811961916872681</v>
      </c>
      <c r="F5" s="1">
        <f t="shared" si="1"/>
        <v>11.244280649745573</v>
      </c>
      <c r="L5" s="7" t="s">
        <v>79</v>
      </c>
      <c r="M5" s="7">
        <v>20638</v>
      </c>
      <c r="N5" s="8">
        <v>83683.67</v>
      </c>
      <c r="O5" s="8">
        <v>1598830.32</v>
      </c>
      <c r="P5" s="9">
        <f t="shared" si="2"/>
        <v>5.2340557314424707</v>
      </c>
      <c r="Q5" s="8">
        <f t="shared" si="3"/>
        <v>4.0548342862680489</v>
      </c>
    </row>
    <row r="6" spans="1:17" x14ac:dyDescent="0.25">
      <c r="A6" s="3" t="s">
        <v>77</v>
      </c>
      <c r="B6">
        <v>131090</v>
      </c>
      <c r="C6" s="1">
        <v>1169665.99</v>
      </c>
      <c r="D6" s="1">
        <v>22967283.289999999</v>
      </c>
      <c r="E6" s="2">
        <f t="shared" si="0"/>
        <v>5.092748564255638</v>
      </c>
      <c r="F6" s="1">
        <f t="shared" si="1"/>
        <v>8.9226179723853836</v>
      </c>
      <c r="L6" s="7" t="s">
        <v>55</v>
      </c>
      <c r="M6" s="7">
        <v>26306</v>
      </c>
      <c r="N6" s="8">
        <v>103743.97</v>
      </c>
      <c r="O6" s="8">
        <v>2441399.88</v>
      </c>
      <c r="P6" s="9">
        <f t="shared" si="2"/>
        <v>4.2493640984368364</v>
      </c>
      <c r="Q6" s="8">
        <f t="shared" si="3"/>
        <v>3.9437379305101499</v>
      </c>
    </row>
    <row r="7" spans="1:17" x14ac:dyDescent="0.25">
      <c r="A7" t="s">
        <v>98</v>
      </c>
      <c r="B7">
        <v>93653</v>
      </c>
      <c r="C7" s="1">
        <v>807669.51</v>
      </c>
      <c r="D7" s="1">
        <v>11879190.380000001</v>
      </c>
      <c r="E7" s="2">
        <f t="shared" si="0"/>
        <v>6.7990282516206282</v>
      </c>
      <c r="F7" s="1">
        <f t="shared" si="1"/>
        <v>8.6240644720404038</v>
      </c>
      <c r="L7" s="7" t="s">
        <v>58</v>
      </c>
      <c r="M7" s="7">
        <v>24986</v>
      </c>
      <c r="N7" s="8">
        <v>98421.36</v>
      </c>
      <c r="O7" s="8">
        <v>2268583.98</v>
      </c>
      <c r="P7" s="9">
        <f t="shared" si="2"/>
        <v>4.3384490443241166</v>
      </c>
      <c r="Q7" s="8">
        <f t="shared" si="3"/>
        <v>3.9390602737533018</v>
      </c>
    </row>
    <row r="8" spans="1:17" x14ac:dyDescent="0.25">
      <c r="A8" t="s">
        <v>86</v>
      </c>
      <c r="B8">
        <v>93158</v>
      </c>
      <c r="C8" s="1">
        <v>795456.35</v>
      </c>
      <c r="D8" s="1">
        <v>14177698.300000001</v>
      </c>
      <c r="E8" s="2">
        <f t="shared" si="0"/>
        <v>5.6106169927455705</v>
      </c>
      <c r="F8" s="1">
        <f t="shared" si="1"/>
        <v>8.5387873290538661</v>
      </c>
      <c r="L8" s="7" t="s">
        <v>32</v>
      </c>
      <c r="M8" s="7">
        <v>18914</v>
      </c>
      <c r="N8" s="8">
        <v>74442.75</v>
      </c>
      <c r="O8" s="8">
        <v>2012519.27</v>
      </c>
      <c r="P8" s="9">
        <f t="shared" si="2"/>
        <v>3.6989832152017108</v>
      </c>
      <c r="Q8" s="8">
        <f t="shared" si="3"/>
        <v>3.9358543935708998</v>
      </c>
    </row>
    <row r="9" spans="1:17" x14ac:dyDescent="0.25">
      <c r="A9" t="s">
        <v>85</v>
      </c>
      <c r="B9">
        <v>102172</v>
      </c>
      <c r="C9" s="1">
        <v>741883.15</v>
      </c>
      <c r="D9" s="1">
        <v>13242016.16</v>
      </c>
      <c r="E9" s="2">
        <f t="shared" si="0"/>
        <v>5.602493918116469</v>
      </c>
      <c r="F9" s="1">
        <f t="shared" si="1"/>
        <v>7.2611199741612182</v>
      </c>
      <c r="L9" s="7" t="s">
        <v>46</v>
      </c>
      <c r="M9" s="7">
        <v>16303</v>
      </c>
      <c r="N9" s="8">
        <v>62743.6</v>
      </c>
      <c r="O9" s="8">
        <v>1571213.86</v>
      </c>
      <c r="P9" s="9">
        <f t="shared" si="2"/>
        <v>3.9933201709409563</v>
      </c>
      <c r="Q9" s="8">
        <f t="shared" si="3"/>
        <v>3.84859228362878</v>
      </c>
    </row>
    <row r="10" spans="1:17" x14ac:dyDescent="0.25">
      <c r="A10" t="s">
        <v>91</v>
      </c>
      <c r="B10">
        <v>89542</v>
      </c>
      <c r="C10" s="1">
        <v>712537.51</v>
      </c>
      <c r="D10" s="1">
        <v>12267027.18</v>
      </c>
      <c r="E10" s="2">
        <f t="shared" si="0"/>
        <v>5.8085589894323526</v>
      </c>
      <c r="F10" s="1">
        <f t="shared" si="1"/>
        <v>7.9575786781622035</v>
      </c>
      <c r="L10" s="7" t="s">
        <v>96</v>
      </c>
      <c r="M10" s="7">
        <v>33704</v>
      </c>
      <c r="N10" s="8">
        <v>129679.32</v>
      </c>
      <c r="O10" s="8">
        <v>2076294.71</v>
      </c>
      <c r="P10" s="9">
        <f t="shared" si="2"/>
        <v>6.2457087317821083</v>
      </c>
      <c r="Q10" s="8">
        <f t="shared" si="3"/>
        <v>3.8475943508188939</v>
      </c>
    </row>
    <row r="11" spans="1:17" x14ac:dyDescent="0.25">
      <c r="A11" t="s">
        <v>103</v>
      </c>
      <c r="B11">
        <v>66135</v>
      </c>
      <c r="C11" s="1">
        <v>623742.77</v>
      </c>
      <c r="D11" s="1">
        <v>7898228.4199999999</v>
      </c>
      <c r="E11" s="2">
        <f t="shared" si="0"/>
        <v>7.8972490643667665</v>
      </c>
      <c r="F11" s="1">
        <f t="shared" si="1"/>
        <v>9.4313566190368192</v>
      </c>
      <c r="L11" s="7" t="s">
        <v>60</v>
      </c>
      <c r="M11" s="7">
        <v>9243</v>
      </c>
      <c r="N11" s="8">
        <v>34907.31</v>
      </c>
      <c r="O11" s="8">
        <v>790327.5</v>
      </c>
      <c r="P11" s="9">
        <f t="shared" si="2"/>
        <v>4.416815813697486</v>
      </c>
      <c r="Q11" s="8">
        <f t="shared" si="3"/>
        <v>3.7766212268743913</v>
      </c>
    </row>
    <row r="12" spans="1:17" x14ac:dyDescent="0.25">
      <c r="A12" t="s">
        <v>82</v>
      </c>
      <c r="B12">
        <v>44151</v>
      </c>
      <c r="C12" s="1">
        <v>424916.52</v>
      </c>
      <c r="D12" s="1">
        <v>7998958.9199999999</v>
      </c>
      <c r="E12" s="2">
        <f t="shared" si="0"/>
        <v>5.3121477963534787</v>
      </c>
      <c r="F12" s="1">
        <f t="shared" si="1"/>
        <v>9.6241652510701918</v>
      </c>
      <c r="L12" s="7" t="s">
        <v>104</v>
      </c>
      <c r="M12" s="7">
        <v>7598</v>
      </c>
      <c r="N12" s="8">
        <v>27787.5</v>
      </c>
      <c r="O12" s="8">
        <v>339968.23</v>
      </c>
      <c r="P12" s="9">
        <f t="shared" si="2"/>
        <v>8.1735578645098705</v>
      </c>
      <c r="Q12" s="8">
        <f t="shared" si="3"/>
        <v>3.6572124243221902</v>
      </c>
    </row>
    <row r="13" spans="1:17" x14ac:dyDescent="0.25">
      <c r="A13" t="s">
        <v>99</v>
      </c>
      <c r="B13">
        <v>16667</v>
      </c>
      <c r="C13" s="1">
        <v>355642.88</v>
      </c>
      <c r="D13" s="1">
        <v>5142111.9000000004</v>
      </c>
      <c r="E13" s="2">
        <f t="shared" si="0"/>
        <v>6.9162804488949376</v>
      </c>
      <c r="F13" s="1">
        <f t="shared" si="1"/>
        <v>21.338146037079259</v>
      </c>
      <c r="L13" s="7" t="s">
        <v>30</v>
      </c>
      <c r="M13" s="7">
        <v>15932</v>
      </c>
      <c r="N13" s="8">
        <v>57715.61</v>
      </c>
      <c r="O13" s="8">
        <v>1618152.03</v>
      </c>
      <c r="P13" s="9">
        <f t="shared" si="2"/>
        <v>3.5667606584530871</v>
      </c>
      <c r="Q13" s="8">
        <f t="shared" si="3"/>
        <v>3.6226217675119257</v>
      </c>
    </row>
    <row r="14" spans="1:17" x14ac:dyDescent="0.25">
      <c r="A14" t="s">
        <v>84</v>
      </c>
      <c r="B14">
        <v>40325</v>
      </c>
      <c r="C14" s="1">
        <v>284021.71999999997</v>
      </c>
      <c r="D14" s="1">
        <v>5168751.09</v>
      </c>
      <c r="E14" s="2">
        <f t="shared" si="0"/>
        <v>5.4949777045657653</v>
      </c>
      <c r="F14" s="1">
        <f t="shared" si="1"/>
        <v>7.0433160570365771</v>
      </c>
      <c r="L14" s="7" t="s">
        <v>35</v>
      </c>
      <c r="M14" s="7">
        <v>9815</v>
      </c>
      <c r="N14" s="8">
        <v>35280.74</v>
      </c>
      <c r="O14" s="8">
        <v>940960.97</v>
      </c>
      <c r="P14" s="9">
        <f t="shared" si="2"/>
        <v>3.74943713127655</v>
      </c>
      <c r="Q14" s="8">
        <f t="shared" si="3"/>
        <v>3.5945736118186447</v>
      </c>
    </row>
    <row r="15" spans="1:17" x14ac:dyDescent="0.25">
      <c r="A15" t="s">
        <v>90</v>
      </c>
      <c r="B15">
        <v>49116</v>
      </c>
      <c r="C15" s="1">
        <v>281625.43</v>
      </c>
      <c r="D15" s="1">
        <v>4851700.7300000004</v>
      </c>
      <c r="E15" s="2">
        <f t="shared" si="0"/>
        <v>5.8046743950754767</v>
      </c>
      <c r="F15" s="1">
        <f t="shared" si="1"/>
        <v>5.733883663164753</v>
      </c>
      <c r="L15" s="7" t="s">
        <v>63</v>
      </c>
      <c r="M15" s="7">
        <v>14330</v>
      </c>
      <c r="N15" s="8">
        <v>51494.400000000001</v>
      </c>
      <c r="O15" s="8">
        <v>1107480.6599999999</v>
      </c>
      <c r="P15" s="9">
        <f t="shared" si="2"/>
        <v>4.6496884198411204</v>
      </c>
      <c r="Q15" s="8">
        <f t="shared" si="3"/>
        <v>3.5934682484298675</v>
      </c>
    </row>
    <row r="16" spans="1:17" x14ac:dyDescent="0.25">
      <c r="A16" t="s">
        <v>94</v>
      </c>
      <c r="B16">
        <v>42745</v>
      </c>
      <c r="C16" s="1">
        <v>273652.39</v>
      </c>
      <c r="D16" s="1">
        <v>4387996.29</v>
      </c>
      <c r="E16" s="2">
        <f t="shared" si="0"/>
        <v>6.2363860840912428</v>
      </c>
      <c r="F16" s="1">
        <f t="shared" si="1"/>
        <v>6.4019742659960235</v>
      </c>
      <c r="L16" s="7" t="s">
        <v>74</v>
      </c>
      <c r="M16" s="7">
        <v>10350</v>
      </c>
      <c r="N16" s="8">
        <v>37155.68</v>
      </c>
      <c r="O16" s="8">
        <v>746083.11</v>
      </c>
      <c r="P16" s="9">
        <f t="shared" si="2"/>
        <v>4.9800993350459306</v>
      </c>
      <c r="Q16" s="8">
        <f t="shared" si="3"/>
        <v>3.5899207729468601</v>
      </c>
    </row>
    <row r="17" spans="1:17" x14ac:dyDescent="0.25">
      <c r="A17" t="s">
        <v>75</v>
      </c>
      <c r="B17">
        <v>35862</v>
      </c>
      <c r="C17" s="1">
        <v>244011.46</v>
      </c>
      <c r="D17" s="1">
        <v>4881120.76</v>
      </c>
      <c r="E17" s="2">
        <f t="shared" si="0"/>
        <v>4.9990867261395104</v>
      </c>
      <c r="F17" s="1">
        <f t="shared" si="1"/>
        <v>6.804178796497685</v>
      </c>
      <c r="L17" s="7" t="s">
        <v>59</v>
      </c>
      <c r="M17" s="7">
        <v>10302</v>
      </c>
      <c r="N17" s="8">
        <v>36939.01</v>
      </c>
      <c r="O17" s="8">
        <v>840077.29</v>
      </c>
      <c r="P17" s="9">
        <f t="shared" si="2"/>
        <v>4.3970966052421199</v>
      </c>
      <c r="Q17" s="8">
        <f t="shared" si="3"/>
        <v>3.5856154144826249</v>
      </c>
    </row>
    <row r="18" spans="1:17" x14ac:dyDescent="0.25">
      <c r="A18" t="s">
        <v>101</v>
      </c>
      <c r="B18">
        <v>20816</v>
      </c>
      <c r="C18" s="1">
        <v>237758.59</v>
      </c>
      <c r="D18" s="1">
        <v>3183557.2</v>
      </c>
      <c r="E18" s="2">
        <f t="shared" si="0"/>
        <v>7.4683310229198954</v>
      </c>
      <c r="F18" s="1">
        <f t="shared" si="1"/>
        <v>11.421915353574173</v>
      </c>
      <c r="L18" s="7" t="s">
        <v>53</v>
      </c>
      <c r="M18" s="7">
        <v>12884</v>
      </c>
      <c r="N18" s="8">
        <v>45914.71</v>
      </c>
      <c r="O18" s="8">
        <v>1089064.58</v>
      </c>
      <c r="P18" s="9">
        <f t="shared" si="2"/>
        <v>4.2159767972621056</v>
      </c>
      <c r="Q18" s="8">
        <f t="shared" si="3"/>
        <v>3.5636999379074821</v>
      </c>
    </row>
    <row r="19" spans="1:17" x14ac:dyDescent="0.25">
      <c r="A19" t="s">
        <v>81</v>
      </c>
      <c r="B19">
        <v>38013</v>
      </c>
      <c r="C19" s="1">
        <v>229378.44</v>
      </c>
      <c r="D19" s="1">
        <v>4323049.3</v>
      </c>
      <c r="E19" s="2">
        <f t="shared" si="0"/>
        <v>5.3059408783517688</v>
      </c>
      <c r="F19" s="1">
        <f t="shared" si="1"/>
        <v>6.03421040170468</v>
      </c>
      <c r="L19" s="7" t="s">
        <v>83</v>
      </c>
      <c r="M19" s="7">
        <v>10680</v>
      </c>
      <c r="N19" s="8">
        <v>37829.24</v>
      </c>
      <c r="O19" s="8">
        <v>702357.9</v>
      </c>
      <c r="P19" s="9">
        <f t="shared" si="2"/>
        <v>5.3860346697887209</v>
      </c>
      <c r="Q19" s="8">
        <f t="shared" si="3"/>
        <v>3.5420636704119848</v>
      </c>
    </row>
    <row r="20" spans="1:17" x14ac:dyDescent="0.25">
      <c r="A20" t="s">
        <v>52</v>
      </c>
      <c r="B20">
        <v>40648</v>
      </c>
      <c r="C20" s="1">
        <v>171773.87</v>
      </c>
      <c r="D20" s="1">
        <v>4092699.9</v>
      </c>
      <c r="E20" s="2">
        <f t="shared" si="0"/>
        <v>4.1970795366647824</v>
      </c>
      <c r="F20" s="1">
        <f t="shared" si="1"/>
        <v>4.2258873745325722</v>
      </c>
      <c r="L20" s="7" t="s">
        <v>66</v>
      </c>
      <c r="M20" s="7">
        <v>13229</v>
      </c>
      <c r="N20" s="8">
        <v>46853.14</v>
      </c>
      <c r="O20" s="8">
        <v>991451.14</v>
      </c>
      <c r="P20" s="9">
        <f t="shared" si="2"/>
        <v>4.7257134627935367</v>
      </c>
      <c r="Q20" s="8">
        <f t="shared" si="3"/>
        <v>3.5416992969990173</v>
      </c>
    </row>
    <row r="21" spans="1:17" x14ac:dyDescent="0.25">
      <c r="A21" t="s">
        <v>50</v>
      </c>
      <c r="B21">
        <v>35625</v>
      </c>
      <c r="C21" s="1">
        <v>150752.51</v>
      </c>
      <c r="D21" s="1">
        <v>3658972.86</v>
      </c>
      <c r="E21" s="2">
        <f t="shared" si="0"/>
        <v>4.1200772940414767</v>
      </c>
      <c r="F21" s="1">
        <f t="shared" si="1"/>
        <v>4.2316494035087722</v>
      </c>
      <c r="L21" s="7" t="s">
        <v>17</v>
      </c>
      <c r="M21" s="7">
        <v>14398</v>
      </c>
      <c r="N21" s="8">
        <v>49562.45</v>
      </c>
      <c r="O21" s="8">
        <v>1776809.53</v>
      </c>
      <c r="P21" s="9">
        <f t="shared" si="2"/>
        <v>2.7894070334032932</v>
      </c>
      <c r="Q21" s="8">
        <f t="shared" si="3"/>
        <v>3.4423149048478954</v>
      </c>
    </row>
    <row r="22" spans="1:17" x14ac:dyDescent="0.25">
      <c r="A22" s="4" t="s">
        <v>76</v>
      </c>
      <c r="B22" s="4">
        <v>33309</v>
      </c>
      <c r="C22" s="5">
        <v>139313.35999999999</v>
      </c>
      <c r="D22" s="5">
        <v>2779364.89</v>
      </c>
      <c r="E22" s="6">
        <f t="shared" si="0"/>
        <v>5.0124170633816991</v>
      </c>
      <c r="F22" s="5">
        <f t="shared" si="1"/>
        <v>4.1824539914137313</v>
      </c>
      <c r="L22" s="7" t="s">
        <v>47</v>
      </c>
      <c r="M22" s="7">
        <v>7089</v>
      </c>
      <c r="N22" s="8">
        <v>24214.49</v>
      </c>
      <c r="O22" s="8">
        <v>603641</v>
      </c>
      <c r="P22" s="9">
        <f t="shared" si="2"/>
        <v>4.0114057858892949</v>
      </c>
      <c r="Q22" s="8">
        <f t="shared" si="3"/>
        <v>3.4157836084073918</v>
      </c>
    </row>
    <row r="23" spans="1:17" x14ac:dyDescent="0.25">
      <c r="A23" s="4" t="s">
        <v>96</v>
      </c>
      <c r="B23" s="4">
        <v>33704</v>
      </c>
      <c r="C23" s="5">
        <v>129679.32</v>
      </c>
      <c r="D23" s="5">
        <v>2076294.71</v>
      </c>
      <c r="E23" s="6">
        <f t="shared" si="0"/>
        <v>6.2457087317821083</v>
      </c>
      <c r="F23" s="5">
        <f t="shared" si="1"/>
        <v>3.8475943508188939</v>
      </c>
      <c r="L23" s="7" t="s">
        <v>38</v>
      </c>
      <c r="M23" s="7">
        <v>11581</v>
      </c>
      <c r="N23" s="8">
        <v>39498.199999999997</v>
      </c>
      <c r="O23" s="8">
        <v>1024856.07</v>
      </c>
      <c r="P23" s="9">
        <f t="shared" si="2"/>
        <v>3.8540241070143635</v>
      </c>
      <c r="Q23" s="8">
        <f t="shared" si="3"/>
        <v>3.410603574820827</v>
      </c>
    </row>
    <row r="24" spans="1:17" x14ac:dyDescent="0.25">
      <c r="A24" t="s">
        <v>78</v>
      </c>
      <c r="B24">
        <v>20260</v>
      </c>
      <c r="C24" s="1">
        <v>126461.18</v>
      </c>
      <c r="D24" s="1">
        <v>2432925.21</v>
      </c>
      <c r="E24" s="2">
        <f t="shared" si="0"/>
        <v>5.1979065973836489</v>
      </c>
      <c r="F24" s="1">
        <f t="shared" si="1"/>
        <v>6.2419141164856855</v>
      </c>
      <c r="L24" s="7" t="s">
        <v>65</v>
      </c>
      <c r="M24" s="7">
        <v>17764</v>
      </c>
      <c r="N24" s="8">
        <v>59983.69</v>
      </c>
      <c r="O24" s="8">
        <v>1277554.19</v>
      </c>
      <c r="P24" s="9">
        <f t="shared" si="2"/>
        <v>4.6951973129218105</v>
      </c>
      <c r="Q24" s="8">
        <f t="shared" si="3"/>
        <v>3.3766995046160777</v>
      </c>
    </row>
    <row r="25" spans="1:17" x14ac:dyDescent="0.25">
      <c r="A25" t="s">
        <v>68</v>
      </c>
      <c r="B25">
        <v>17534</v>
      </c>
      <c r="C25" s="1">
        <v>124040.4</v>
      </c>
      <c r="D25" s="1">
        <v>2567270.44</v>
      </c>
      <c r="E25" s="2">
        <f t="shared" si="0"/>
        <v>4.8316062876492278</v>
      </c>
      <c r="F25" s="1">
        <f t="shared" si="1"/>
        <v>7.0742785445420324</v>
      </c>
      <c r="L25" s="7" t="s">
        <v>39</v>
      </c>
      <c r="M25" s="7">
        <v>19848</v>
      </c>
      <c r="N25" s="8">
        <v>66948.39</v>
      </c>
      <c r="O25" s="8">
        <v>1720246.48</v>
      </c>
      <c r="P25" s="9">
        <f t="shared" si="2"/>
        <v>3.8917905531770076</v>
      </c>
      <c r="Q25" s="8">
        <f t="shared" si="3"/>
        <v>3.3730547158403867</v>
      </c>
    </row>
    <row r="26" spans="1:17" x14ac:dyDescent="0.25">
      <c r="A26" t="s">
        <v>69</v>
      </c>
      <c r="B26">
        <v>24276</v>
      </c>
      <c r="C26" s="1">
        <v>121325.16</v>
      </c>
      <c r="D26" s="1">
        <v>2507674.79</v>
      </c>
      <c r="E26" s="2">
        <f t="shared" si="0"/>
        <v>4.8381536746238138</v>
      </c>
      <c r="F26" s="1">
        <f t="shared" si="1"/>
        <v>4.9977409787444387</v>
      </c>
      <c r="L26" s="7" t="s">
        <v>27</v>
      </c>
      <c r="M26" s="7">
        <v>20958</v>
      </c>
      <c r="N26" s="8">
        <v>63235.22</v>
      </c>
      <c r="O26" s="8">
        <v>1949162.4</v>
      </c>
      <c r="P26" s="9">
        <f t="shared" si="2"/>
        <v>3.2442253144222359</v>
      </c>
      <c r="Q26" s="8">
        <f t="shared" si="3"/>
        <v>3.0172354232274072</v>
      </c>
    </row>
    <row r="27" spans="1:17" x14ac:dyDescent="0.25">
      <c r="A27" s="4" t="s">
        <v>34</v>
      </c>
      <c r="B27" s="4">
        <v>46225</v>
      </c>
      <c r="C27" s="5">
        <v>113032.02</v>
      </c>
      <c r="D27" s="5">
        <v>3028648.21</v>
      </c>
      <c r="E27" s="6">
        <f t="shared" si="0"/>
        <v>3.732094722219323</v>
      </c>
      <c r="F27" s="5">
        <f t="shared" si="1"/>
        <v>2.4452573282855599</v>
      </c>
      <c r="L27" s="7" t="s">
        <v>40</v>
      </c>
      <c r="M27" s="7">
        <v>20145</v>
      </c>
      <c r="N27" s="8">
        <v>60484.77</v>
      </c>
      <c r="O27" s="8">
        <v>1550328.8</v>
      </c>
      <c r="P27" s="9">
        <f t="shared" si="2"/>
        <v>3.9014156222860592</v>
      </c>
      <c r="Q27" s="8">
        <f t="shared" si="3"/>
        <v>3.002470588235294</v>
      </c>
    </row>
    <row r="28" spans="1:17" x14ac:dyDescent="0.25">
      <c r="A28" t="s">
        <v>88</v>
      </c>
      <c r="B28">
        <v>21056</v>
      </c>
      <c r="C28" s="1">
        <v>110873.07</v>
      </c>
      <c r="D28" s="1">
        <v>1956732.65</v>
      </c>
      <c r="E28" s="2">
        <f t="shared" si="0"/>
        <v>5.6662349861643087</v>
      </c>
      <c r="F28" s="1">
        <f t="shared" si="1"/>
        <v>5.2656283244680857</v>
      </c>
      <c r="L28" s="7" t="s">
        <v>102</v>
      </c>
      <c r="M28" s="7">
        <v>6119</v>
      </c>
      <c r="N28" s="8">
        <v>18226.759999999998</v>
      </c>
      <c r="O28" s="8">
        <v>241821.88</v>
      </c>
      <c r="P28" s="9">
        <f t="shared" si="2"/>
        <v>7.5372666857109856</v>
      </c>
      <c r="Q28" s="8">
        <f t="shared" si="3"/>
        <v>2.9787154763850299</v>
      </c>
    </row>
    <row r="29" spans="1:17" x14ac:dyDescent="0.25">
      <c r="A29" t="s">
        <v>57</v>
      </c>
      <c r="B29">
        <v>15543</v>
      </c>
      <c r="C29" s="1">
        <v>109020.44</v>
      </c>
      <c r="D29" s="1">
        <v>2522531.13</v>
      </c>
      <c r="E29" s="2">
        <f t="shared" si="0"/>
        <v>4.3218669812808219</v>
      </c>
      <c r="F29" s="1">
        <f t="shared" si="1"/>
        <v>7.01411825258959</v>
      </c>
      <c r="L29" s="7" t="s">
        <v>33</v>
      </c>
      <c r="M29" s="7">
        <v>20880</v>
      </c>
      <c r="N29" s="8">
        <v>61733.24</v>
      </c>
      <c r="O29" s="8">
        <v>1668008.23</v>
      </c>
      <c r="P29" s="9">
        <f t="shared" si="2"/>
        <v>3.7010153121366796</v>
      </c>
      <c r="Q29" s="8">
        <f t="shared" si="3"/>
        <v>2.9565727969348656</v>
      </c>
    </row>
    <row r="30" spans="1:17" x14ac:dyDescent="0.25">
      <c r="A30" s="4" t="s">
        <v>55</v>
      </c>
      <c r="B30" s="4">
        <v>26306</v>
      </c>
      <c r="C30" s="5">
        <v>103743.97</v>
      </c>
      <c r="D30" s="5">
        <v>2441399.88</v>
      </c>
      <c r="E30" s="6">
        <f t="shared" si="0"/>
        <v>4.2493640984368364</v>
      </c>
      <c r="F30" s="5">
        <f t="shared" si="1"/>
        <v>3.9437379305101499</v>
      </c>
      <c r="L30" s="7" t="s">
        <v>71</v>
      </c>
      <c r="M30" s="7">
        <v>10776</v>
      </c>
      <c r="N30" s="8">
        <v>31717.83</v>
      </c>
      <c r="O30" s="8">
        <v>644715.72</v>
      </c>
      <c r="P30" s="9">
        <f t="shared" si="2"/>
        <v>4.9196613353867038</v>
      </c>
      <c r="Q30" s="8">
        <f t="shared" si="3"/>
        <v>2.9433769487750556</v>
      </c>
    </row>
    <row r="31" spans="1:17" x14ac:dyDescent="0.25">
      <c r="A31" t="s">
        <v>73</v>
      </c>
      <c r="B31">
        <v>21704</v>
      </c>
      <c r="C31" s="1">
        <v>101337.46</v>
      </c>
      <c r="D31" s="1">
        <v>2047974.45</v>
      </c>
      <c r="E31" s="2">
        <f t="shared" si="0"/>
        <v>4.948179895506021</v>
      </c>
      <c r="F31" s="1">
        <f t="shared" si="1"/>
        <v>4.6690683744931816</v>
      </c>
      <c r="L31" s="7" t="s">
        <v>87</v>
      </c>
      <c r="M31" s="7">
        <v>9670</v>
      </c>
      <c r="N31" s="8">
        <v>27261.48</v>
      </c>
      <c r="O31" s="8">
        <v>482178.34</v>
      </c>
      <c r="P31" s="9">
        <f t="shared" si="2"/>
        <v>5.6538168014763999</v>
      </c>
      <c r="Q31" s="8">
        <f t="shared" si="3"/>
        <v>2.8191809720785934</v>
      </c>
    </row>
    <row r="32" spans="1:17" x14ac:dyDescent="0.25">
      <c r="A32" t="s">
        <v>62</v>
      </c>
      <c r="B32">
        <v>16355</v>
      </c>
      <c r="C32" s="1">
        <v>101092.47</v>
      </c>
      <c r="D32" s="1">
        <v>2226471.23</v>
      </c>
      <c r="E32" s="2">
        <f t="shared" si="0"/>
        <v>4.5404795102607274</v>
      </c>
      <c r="F32" s="1">
        <f t="shared" si="1"/>
        <v>6.1811354325894223</v>
      </c>
      <c r="L32" s="7" t="s">
        <v>23</v>
      </c>
      <c r="M32" s="7">
        <v>9286</v>
      </c>
      <c r="N32" s="8">
        <v>26126.79</v>
      </c>
      <c r="O32" s="8">
        <v>845731.43</v>
      </c>
      <c r="P32" s="9">
        <f t="shared" si="2"/>
        <v>3.0892537599081544</v>
      </c>
      <c r="Q32" s="8">
        <f t="shared" si="3"/>
        <v>2.8135677363773421</v>
      </c>
    </row>
    <row r="33" spans="1:17" x14ac:dyDescent="0.25">
      <c r="A33" s="4" t="s">
        <v>42</v>
      </c>
      <c r="B33" s="4">
        <v>36842</v>
      </c>
      <c r="C33" s="5">
        <v>99564.47</v>
      </c>
      <c r="D33" s="5">
        <v>2544580.83</v>
      </c>
      <c r="E33" s="6">
        <f t="shared" si="0"/>
        <v>3.9128043733631364</v>
      </c>
      <c r="F33" s="5">
        <f t="shared" si="1"/>
        <v>2.7024719070625918</v>
      </c>
      <c r="L33" s="7" t="s">
        <v>29</v>
      </c>
      <c r="M33" s="7">
        <v>7682</v>
      </c>
      <c r="N33" s="8">
        <v>21515.54</v>
      </c>
      <c r="O33" s="8">
        <v>603088.67000000004</v>
      </c>
      <c r="P33" s="9">
        <f t="shared" si="2"/>
        <v>3.5675583160930544</v>
      </c>
      <c r="Q33" s="8">
        <f t="shared" si="3"/>
        <v>2.8007732361364228</v>
      </c>
    </row>
    <row r="34" spans="1:17" x14ac:dyDescent="0.25">
      <c r="A34" s="4" t="s">
        <v>58</v>
      </c>
      <c r="B34" s="4">
        <v>24986</v>
      </c>
      <c r="C34" s="5">
        <v>98421.36</v>
      </c>
      <c r="D34" s="5">
        <v>2268583.98</v>
      </c>
      <c r="E34" s="6">
        <f t="shared" ref="E34:E65" si="4">C34/D34*100</f>
        <v>4.3384490443241166</v>
      </c>
      <c r="F34" s="5">
        <f t="shared" ref="F34:F65" si="5">C34/B34</f>
        <v>3.9390602737533018</v>
      </c>
      <c r="L34" s="7" t="s">
        <v>61</v>
      </c>
      <c r="M34" s="7">
        <v>22381</v>
      </c>
      <c r="N34" s="8">
        <v>62480.56</v>
      </c>
      <c r="O34" s="8">
        <v>1378251.77</v>
      </c>
      <c r="P34" s="9">
        <f t="shared" ref="P34:P65" si="6">N34/O34*100</f>
        <v>4.5333197721922751</v>
      </c>
      <c r="Q34" s="8">
        <f t="shared" ref="Q34:Q67" si="7">N34/M34</f>
        <v>2.7916786560028592</v>
      </c>
    </row>
    <row r="35" spans="1:17" x14ac:dyDescent="0.25">
      <c r="A35" t="s">
        <v>56</v>
      </c>
      <c r="B35">
        <v>16667</v>
      </c>
      <c r="C35" s="1">
        <v>91847.67</v>
      </c>
      <c r="D35" s="1">
        <v>2140888</v>
      </c>
      <c r="E35" s="2">
        <f t="shared" si="4"/>
        <v>4.2901669774411362</v>
      </c>
      <c r="F35" s="1">
        <f t="shared" si="5"/>
        <v>5.5107499850002997</v>
      </c>
      <c r="L35" s="7" t="s">
        <v>49</v>
      </c>
      <c r="M35" s="7">
        <v>16843</v>
      </c>
      <c r="N35" s="8">
        <v>46136.17</v>
      </c>
      <c r="O35" s="8">
        <v>1120768.6100000001</v>
      </c>
      <c r="P35" s="9">
        <f t="shared" si="6"/>
        <v>4.1164759244997056</v>
      </c>
      <c r="Q35" s="8">
        <f t="shared" si="7"/>
        <v>2.739189574303865</v>
      </c>
    </row>
    <row r="36" spans="1:17" x14ac:dyDescent="0.25">
      <c r="A36" s="4" t="s">
        <v>79</v>
      </c>
      <c r="B36" s="4">
        <v>20638</v>
      </c>
      <c r="C36" s="5">
        <v>83683.67</v>
      </c>
      <c r="D36" s="5">
        <v>1598830.32</v>
      </c>
      <c r="E36" s="6">
        <f t="shared" si="4"/>
        <v>5.2340557314424707</v>
      </c>
      <c r="F36" s="5">
        <f t="shared" si="5"/>
        <v>4.0548342862680489</v>
      </c>
      <c r="L36" s="7" t="s">
        <v>42</v>
      </c>
      <c r="M36" s="7">
        <v>36842</v>
      </c>
      <c r="N36" s="8">
        <v>99564.47</v>
      </c>
      <c r="O36" s="8">
        <v>2544580.83</v>
      </c>
      <c r="P36" s="9">
        <f t="shared" si="6"/>
        <v>3.9128043733631364</v>
      </c>
      <c r="Q36" s="8">
        <f t="shared" si="7"/>
        <v>2.7024719070625918</v>
      </c>
    </row>
    <row r="37" spans="1:17" x14ac:dyDescent="0.25">
      <c r="A37" t="s">
        <v>41</v>
      </c>
      <c r="B37">
        <v>17096</v>
      </c>
      <c r="C37" s="1">
        <v>76806.28</v>
      </c>
      <c r="D37" s="1">
        <v>1971876.55</v>
      </c>
      <c r="E37" s="2">
        <f t="shared" si="4"/>
        <v>3.8950856228803974</v>
      </c>
      <c r="F37" s="1">
        <f t="shared" si="5"/>
        <v>4.4926462330369681</v>
      </c>
      <c r="L37" s="7" t="s">
        <v>64</v>
      </c>
      <c r="M37" s="7">
        <v>18129</v>
      </c>
      <c r="N37" s="8">
        <v>46359.44</v>
      </c>
      <c r="O37" s="8">
        <v>994568.53</v>
      </c>
      <c r="P37" s="9">
        <f t="shared" si="6"/>
        <v>4.6612615020103245</v>
      </c>
      <c r="Q37" s="8">
        <f t="shared" si="7"/>
        <v>2.557197859782669</v>
      </c>
    </row>
    <row r="38" spans="1:17" x14ac:dyDescent="0.25">
      <c r="A38" s="4" t="s">
        <v>32</v>
      </c>
      <c r="B38" s="4">
        <v>18914</v>
      </c>
      <c r="C38" s="5">
        <v>74442.75</v>
      </c>
      <c r="D38" s="5">
        <v>2012519.27</v>
      </c>
      <c r="E38" s="6">
        <f t="shared" si="4"/>
        <v>3.6989832152017108</v>
      </c>
      <c r="F38" s="5">
        <f t="shared" si="5"/>
        <v>3.9358543935708998</v>
      </c>
      <c r="L38" s="7" t="s">
        <v>25</v>
      </c>
      <c r="M38" s="7">
        <v>15673</v>
      </c>
      <c r="N38" s="8">
        <v>40060.33</v>
      </c>
      <c r="O38" s="8">
        <v>1244371.58</v>
      </c>
      <c r="P38" s="9">
        <f t="shared" si="6"/>
        <v>3.2193221577754132</v>
      </c>
      <c r="Q38" s="8">
        <f t="shared" si="7"/>
        <v>2.5560090601671668</v>
      </c>
    </row>
    <row r="39" spans="1:17" x14ac:dyDescent="0.25">
      <c r="A39" t="s">
        <v>92</v>
      </c>
      <c r="B39">
        <v>12167</v>
      </c>
      <c r="C39" s="1">
        <v>68370.03</v>
      </c>
      <c r="D39" s="1">
        <v>1163855.3500000001</v>
      </c>
      <c r="E39" s="2">
        <f t="shared" si="4"/>
        <v>5.8744439332602623</v>
      </c>
      <c r="F39" s="1">
        <f t="shared" si="5"/>
        <v>5.6193005671077501</v>
      </c>
      <c r="L39" s="7" t="s">
        <v>34</v>
      </c>
      <c r="M39" s="7">
        <v>46225</v>
      </c>
      <c r="N39" s="8">
        <v>113032.02</v>
      </c>
      <c r="O39" s="8">
        <v>3028648.21</v>
      </c>
      <c r="P39" s="9">
        <f t="shared" si="6"/>
        <v>3.732094722219323</v>
      </c>
      <c r="Q39" s="8">
        <f t="shared" si="7"/>
        <v>2.4452573282855599</v>
      </c>
    </row>
    <row r="40" spans="1:17" x14ac:dyDescent="0.25">
      <c r="A40" s="4" t="s">
        <v>39</v>
      </c>
      <c r="B40" s="4">
        <v>19848</v>
      </c>
      <c r="C40" s="5">
        <v>66948.39</v>
      </c>
      <c r="D40" s="5">
        <v>1720246.48</v>
      </c>
      <c r="E40" s="6">
        <f t="shared" si="4"/>
        <v>3.8917905531770076</v>
      </c>
      <c r="F40" s="5">
        <f t="shared" si="5"/>
        <v>3.3730547158403867</v>
      </c>
      <c r="L40" s="7" t="s">
        <v>51</v>
      </c>
      <c r="M40" s="7">
        <v>9336</v>
      </c>
      <c r="N40" s="8">
        <v>22717.33</v>
      </c>
      <c r="O40" s="8">
        <v>548905.25</v>
      </c>
      <c r="P40" s="9">
        <f t="shared" si="6"/>
        <v>4.1386614538665834</v>
      </c>
      <c r="Q40" s="8">
        <f t="shared" si="7"/>
        <v>2.43330441302485</v>
      </c>
    </row>
    <row r="41" spans="1:17" x14ac:dyDescent="0.25">
      <c r="A41" t="s">
        <v>97</v>
      </c>
      <c r="B41">
        <v>10866</v>
      </c>
      <c r="C41" s="1">
        <v>65038.49</v>
      </c>
      <c r="D41" s="1">
        <v>1024059.83</v>
      </c>
      <c r="E41" s="2">
        <f t="shared" si="4"/>
        <v>6.3510439619528878</v>
      </c>
      <c r="F41" s="1">
        <f t="shared" si="5"/>
        <v>5.985504325418737</v>
      </c>
      <c r="L41" s="7" t="s">
        <v>21</v>
      </c>
      <c r="M41" s="7">
        <v>10740</v>
      </c>
      <c r="N41" s="8">
        <v>25670.92</v>
      </c>
      <c r="O41" s="8">
        <v>839109.2</v>
      </c>
      <c r="P41" s="9">
        <f t="shared" si="6"/>
        <v>3.0593062261741379</v>
      </c>
      <c r="Q41" s="8">
        <f t="shared" si="7"/>
        <v>2.3902160148975788</v>
      </c>
    </row>
    <row r="42" spans="1:17" x14ac:dyDescent="0.25">
      <c r="A42" s="4" t="s">
        <v>27</v>
      </c>
      <c r="B42" s="4">
        <v>20958</v>
      </c>
      <c r="C42" s="5">
        <v>63235.22</v>
      </c>
      <c r="D42" s="5">
        <v>1949162.4</v>
      </c>
      <c r="E42" s="6">
        <f t="shared" si="4"/>
        <v>3.2442253144222359</v>
      </c>
      <c r="F42" s="5">
        <f t="shared" si="5"/>
        <v>3.0172354232274072</v>
      </c>
      <c r="L42" s="7" t="s">
        <v>18</v>
      </c>
      <c r="M42" s="7">
        <v>12072</v>
      </c>
      <c r="N42" s="8">
        <v>28436.58</v>
      </c>
      <c r="O42" s="8">
        <v>981007.93</v>
      </c>
      <c r="P42" s="9">
        <f t="shared" si="6"/>
        <v>2.898710512972102</v>
      </c>
      <c r="Q42" s="8">
        <f t="shared" si="7"/>
        <v>2.3555815109343938</v>
      </c>
    </row>
    <row r="43" spans="1:17" x14ac:dyDescent="0.25">
      <c r="A43" s="4" t="s">
        <v>46</v>
      </c>
      <c r="B43" s="4">
        <v>16303</v>
      </c>
      <c r="C43" s="5">
        <v>62743.6</v>
      </c>
      <c r="D43" s="5">
        <v>1571213.86</v>
      </c>
      <c r="E43" s="6">
        <f t="shared" si="4"/>
        <v>3.9933201709409563</v>
      </c>
      <c r="F43" s="5">
        <f t="shared" si="5"/>
        <v>3.84859228362878</v>
      </c>
      <c r="L43" s="7" t="s">
        <v>80</v>
      </c>
      <c r="M43" s="7">
        <v>15059</v>
      </c>
      <c r="N43" s="8">
        <v>32333.08</v>
      </c>
      <c r="O43" s="8">
        <v>617724.37</v>
      </c>
      <c r="P43" s="9">
        <f t="shared" si="6"/>
        <v>5.23422444868089</v>
      </c>
      <c r="Q43" s="8">
        <f t="shared" si="7"/>
        <v>2.147093432498838</v>
      </c>
    </row>
    <row r="44" spans="1:17" x14ac:dyDescent="0.25">
      <c r="A44" s="4" t="s">
        <v>61</v>
      </c>
      <c r="B44" s="4">
        <v>22381</v>
      </c>
      <c r="C44" s="5">
        <v>62480.56</v>
      </c>
      <c r="D44" s="5">
        <v>1378251.77</v>
      </c>
      <c r="E44" s="6">
        <f t="shared" si="4"/>
        <v>4.5333197721922751</v>
      </c>
      <c r="F44" s="5">
        <f t="shared" si="5"/>
        <v>2.7916786560028592</v>
      </c>
      <c r="L44" s="7" t="s">
        <v>45</v>
      </c>
      <c r="M44" s="7">
        <v>17767</v>
      </c>
      <c r="N44" s="8">
        <v>34468.89</v>
      </c>
      <c r="O44" s="8">
        <v>876011.17</v>
      </c>
      <c r="P44" s="9">
        <f t="shared" si="6"/>
        <v>3.9347546219073894</v>
      </c>
      <c r="Q44" s="8">
        <f t="shared" si="7"/>
        <v>1.9400512185512466</v>
      </c>
    </row>
    <row r="45" spans="1:17" x14ac:dyDescent="0.25">
      <c r="A45" s="4" t="s">
        <v>33</v>
      </c>
      <c r="B45" s="4">
        <v>20880</v>
      </c>
      <c r="C45" s="5">
        <v>61733.24</v>
      </c>
      <c r="D45" s="5">
        <v>1668008.23</v>
      </c>
      <c r="E45" s="6">
        <f t="shared" si="4"/>
        <v>3.7010153121366796</v>
      </c>
      <c r="F45" s="5">
        <f t="shared" si="5"/>
        <v>2.9565727969348656</v>
      </c>
      <c r="L45" s="7" t="s">
        <v>54</v>
      </c>
      <c r="M45" s="7">
        <v>14928</v>
      </c>
      <c r="N45" s="8">
        <v>27614.22</v>
      </c>
      <c r="O45" s="8">
        <v>651345.05000000005</v>
      </c>
      <c r="P45" s="9">
        <f t="shared" si="6"/>
        <v>4.2395685666145768</v>
      </c>
      <c r="Q45" s="8">
        <f t="shared" si="7"/>
        <v>1.8498271704180065</v>
      </c>
    </row>
    <row r="46" spans="1:17" x14ac:dyDescent="0.25">
      <c r="A46" s="4" t="s">
        <v>40</v>
      </c>
      <c r="B46" s="4">
        <v>20145</v>
      </c>
      <c r="C46" s="5">
        <v>60484.77</v>
      </c>
      <c r="D46" s="5">
        <v>1550328.8</v>
      </c>
      <c r="E46" s="6">
        <f t="shared" si="4"/>
        <v>3.9014156222860592</v>
      </c>
      <c r="F46" s="5">
        <f t="shared" si="5"/>
        <v>3.002470588235294</v>
      </c>
      <c r="L46" s="7" t="s">
        <v>15</v>
      </c>
      <c r="M46" s="7">
        <v>8898</v>
      </c>
      <c r="N46" s="8">
        <v>15618.24</v>
      </c>
      <c r="O46" s="8">
        <v>580658.38</v>
      </c>
      <c r="P46" s="9">
        <f t="shared" si="6"/>
        <v>2.6897467664205585</v>
      </c>
      <c r="Q46" s="8">
        <f t="shared" si="7"/>
        <v>1.7552528658125421</v>
      </c>
    </row>
    <row r="47" spans="1:17" x14ac:dyDescent="0.25">
      <c r="A47" s="4" t="s">
        <v>65</v>
      </c>
      <c r="B47" s="4">
        <v>17764</v>
      </c>
      <c r="C47" s="5">
        <v>59983.69</v>
      </c>
      <c r="D47" s="5">
        <v>1277554.19</v>
      </c>
      <c r="E47" s="6">
        <f t="shared" si="4"/>
        <v>4.6951973129218105</v>
      </c>
      <c r="F47" s="5">
        <f t="shared" si="5"/>
        <v>3.3766995046160777</v>
      </c>
      <c r="L47" s="7" t="s">
        <v>72</v>
      </c>
      <c r="M47" s="7">
        <v>11341</v>
      </c>
      <c r="N47" s="8">
        <v>19724.16</v>
      </c>
      <c r="O47" s="8">
        <v>399807.53</v>
      </c>
      <c r="P47" s="9">
        <f t="shared" si="6"/>
        <v>4.9334138354022494</v>
      </c>
      <c r="Q47" s="8">
        <f t="shared" si="7"/>
        <v>1.739190547570761</v>
      </c>
    </row>
    <row r="48" spans="1:17" x14ac:dyDescent="0.25">
      <c r="A48" s="4" t="s">
        <v>30</v>
      </c>
      <c r="B48" s="4">
        <v>15932</v>
      </c>
      <c r="C48" s="5">
        <v>57715.61</v>
      </c>
      <c r="D48" s="5">
        <v>1618152.03</v>
      </c>
      <c r="E48" s="6">
        <f t="shared" si="4"/>
        <v>3.5667606584530871</v>
      </c>
      <c r="F48" s="5">
        <f t="shared" si="5"/>
        <v>3.6226217675119257</v>
      </c>
      <c r="L48" s="7" t="s">
        <v>24</v>
      </c>
      <c r="M48" s="7">
        <v>6462</v>
      </c>
      <c r="N48" s="8">
        <v>11060.08</v>
      </c>
      <c r="O48" s="8">
        <v>344176.87</v>
      </c>
      <c r="P48" s="9">
        <f t="shared" si="6"/>
        <v>3.2134872979697908</v>
      </c>
      <c r="Q48" s="8">
        <f t="shared" si="7"/>
        <v>1.7115567935623646</v>
      </c>
    </row>
    <row r="49" spans="1:17" x14ac:dyDescent="0.25">
      <c r="A49" s="4" t="s">
        <v>36</v>
      </c>
      <c r="B49" s="4">
        <v>13956</v>
      </c>
      <c r="C49" s="5">
        <v>57464.92</v>
      </c>
      <c r="D49" s="5">
        <v>1527535.95</v>
      </c>
      <c r="E49" s="6">
        <f t="shared" si="4"/>
        <v>3.7619356847215282</v>
      </c>
      <c r="F49" s="5">
        <f t="shared" si="5"/>
        <v>4.1175781026081975</v>
      </c>
      <c r="L49" s="7" t="s">
        <v>22</v>
      </c>
      <c r="M49" s="7">
        <v>15679</v>
      </c>
      <c r="N49" s="8">
        <v>26196.1</v>
      </c>
      <c r="O49" s="8">
        <v>848829.42</v>
      </c>
      <c r="P49" s="9">
        <f t="shared" si="6"/>
        <v>3.0861442102230621</v>
      </c>
      <c r="Q49" s="8">
        <f t="shared" si="7"/>
        <v>1.6707761974615727</v>
      </c>
    </row>
    <row r="50" spans="1:17" x14ac:dyDescent="0.25">
      <c r="A50" s="4" t="s">
        <v>43</v>
      </c>
      <c r="B50" s="4">
        <v>12534</v>
      </c>
      <c r="C50" s="5">
        <v>52390.8</v>
      </c>
      <c r="D50" s="5">
        <v>1337091.6299999999</v>
      </c>
      <c r="E50" s="6">
        <f t="shared" si="4"/>
        <v>3.9182654968829631</v>
      </c>
      <c r="F50" s="5">
        <f t="shared" si="5"/>
        <v>4.1798946864528483</v>
      </c>
      <c r="L50" s="7" t="s">
        <v>28</v>
      </c>
      <c r="M50" s="7">
        <v>18499</v>
      </c>
      <c r="N50" s="8">
        <v>27141.01</v>
      </c>
      <c r="O50" s="8">
        <v>783200.87</v>
      </c>
      <c r="P50" s="9">
        <f t="shared" si="6"/>
        <v>3.4653957930358277</v>
      </c>
      <c r="Q50" s="8">
        <f t="shared" si="7"/>
        <v>1.4671609276177089</v>
      </c>
    </row>
    <row r="51" spans="1:17" x14ac:dyDescent="0.25">
      <c r="A51" s="4" t="s">
        <v>63</v>
      </c>
      <c r="B51" s="4">
        <v>14330</v>
      </c>
      <c r="C51" s="5">
        <v>51494.400000000001</v>
      </c>
      <c r="D51" s="5">
        <v>1107480.6599999999</v>
      </c>
      <c r="E51" s="6">
        <f t="shared" si="4"/>
        <v>4.6496884198411204</v>
      </c>
      <c r="F51" s="5">
        <f t="shared" si="5"/>
        <v>3.5934682484298675</v>
      </c>
      <c r="L51" s="7" t="s">
        <v>16</v>
      </c>
      <c r="M51" s="7">
        <v>7970</v>
      </c>
      <c r="N51" s="8">
        <v>11394.74</v>
      </c>
      <c r="O51" s="8">
        <v>417543.16</v>
      </c>
      <c r="P51" s="9">
        <f t="shared" si="6"/>
        <v>2.7289969257309834</v>
      </c>
      <c r="Q51" s="8">
        <f t="shared" si="7"/>
        <v>1.4297038895859473</v>
      </c>
    </row>
    <row r="52" spans="1:17" x14ac:dyDescent="0.25">
      <c r="A52" s="4" t="s">
        <v>17</v>
      </c>
      <c r="B52" s="4">
        <v>14398</v>
      </c>
      <c r="C52" s="5">
        <v>49562.45</v>
      </c>
      <c r="D52" s="5">
        <v>1776809.53</v>
      </c>
      <c r="E52" s="6">
        <f t="shared" si="4"/>
        <v>2.7894070334032932</v>
      </c>
      <c r="F52" s="5">
        <f t="shared" si="5"/>
        <v>3.4423149048478954</v>
      </c>
      <c r="L52" s="7" t="s">
        <v>8</v>
      </c>
      <c r="M52" s="7">
        <v>7310</v>
      </c>
      <c r="N52" s="8">
        <v>10341.44</v>
      </c>
      <c r="O52" s="8">
        <v>500771.13</v>
      </c>
      <c r="P52" s="9">
        <f t="shared" si="6"/>
        <v>2.065103074132888</v>
      </c>
      <c r="Q52" s="8">
        <f t="shared" si="7"/>
        <v>1.4146976744186046</v>
      </c>
    </row>
    <row r="53" spans="1:17" x14ac:dyDescent="0.25">
      <c r="A53" s="4" t="s">
        <v>66</v>
      </c>
      <c r="B53" s="4">
        <v>13229</v>
      </c>
      <c r="C53" s="5">
        <v>46853.14</v>
      </c>
      <c r="D53" s="5">
        <v>991451.14</v>
      </c>
      <c r="E53" s="6">
        <f t="shared" si="4"/>
        <v>4.7257134627935367</v>
      </c>
      <c r="F53" s="5">
        <f t="shared" si="5"/>
        <v>3.5416992969990173</v>
      </c>
      <c r="L53" s="7" t="s">
        <v>31</v>
      </c>
      <c r="M53" s="7">
        <v>26076</v>
      </c>
      <c r="N53" s="8">
        <v>35458.29</v>
      </c>
      <c r="O53" s="8">
        <v>994344.98</v>
      </c>
      <c r="P53" s="9">
        <f t="shared" si="6"/>
        <v>3.5659947717541653</v>
      </c>
      <c r="Q53" s="8">
        <f t="shared" si="7"/>
        <v>1.3598055683387023</v>
      </c>
    </row>
    <row r="54" spans="1:17" x14ac:dyDescent="0.25">
      <c r="A54" s="4" t="s">
        <v>64</v>
      </c>
      <c r="B54" s="4">
        <v>18129</v>
      </c>
      <c r="C54" s="5">
        <v>46359.44</v>
      </c>
      <c r="D54" s="5">
        <v>994568.53</v>
      </c>
      <c r="E54" s="6">
        <f t="shared" si="4"/>
        <v>4.6612615020103245</v>
      </c>
      <c r="F54" s="5">
        <f t="shared" si="5"/>
        <v>2.557197859782669</v>
      </c>
      <c r="L54" s="7" t="s">
        <v>19</v>
      </c>
      <c r="M54" s="7">
        <v>12439</v>
      </c>
      <c r="N54" s="8">
        <v>16101.61</v>
      </c>
      <c r="O54" s="8">
        <v>548956.25</v>
      </c>
      <c r="P54" s="9">
        <f t="shared" si="6"/>
        <v>2.9331317386403746</v>
      </c>
      <c r="Q54" s="8">
        <f t="shared" si="7"/>
        <v>1.2944456949915588</v>
      </c>
    </row>
    <row r="55" spans="1:17" x14ac:dyDescent="0.25">
      <c r="A55" s="4" t="s">
        <v>49</v>
      </c>
      <c r="B55" s="4">
        <v>16843</v>
      </c>
      <c r="C55" s="5">
        <v>46136.17</v>
      </c>
      <c r="D55" s="5">
        <v>1120768.6100000001</v>
      </c>
      <c r="E55" s="6">
        <f t="shared" si="4"/>
        <v>4.1164759244997056</v>
      </c>
      <c r="F55" s="5">
        <f t="shared" si="5"/>
        <v>2.739189574303865</v>
      </c>
      <c r="L55" s="7" t="s">
        <v>100</v>
      </c>
      <c r="M55" s="7">
        <v>6403</v>
      </c>
      <c r="N55" s="8">
        <v>7228.42</v>
      </c>
      <c r="O55" s="8">
        <v>98824.4</v>
      </c>
      <c r="P55" s="9">
        <f t="shared" si="6"/>
        <v>7.3144081825945824</v>
      </c>
      <c r="Q55" s="8">
        <f t="shared" si="7"/>
        <v>1.1289114477588631</v>
      </c>
    </row>
    <row r="56" spans="1:17" x14ac:dyDescent="0.25">
      <c r="A56" s="4" t="s">
        <v>53</v>
      </c>
      <c r="B56" s="4">
        <v>12884</v>
      </c>
      <c r="C56" s="5">
        <v>45914.71</v>
      </c>
      <c r="D56" s="5">
        <v>1089064.58</v>
      </c>
      <c r="E56" s="6">
        <f t="shared" si="4"/>
        <v>4.2159767972621056</v>
      </c>
      <c r="F56" s="5">
        <f t="shared" si="5"/>
        <v>3.5636999379074821</v>
      </c>
      <c r="L56" s="7" t="s">
        <v>37</v>
      </c>
      <c r="M56" s="7">
        <v>8457</v>
      </c>
      <c r="N56" s="8">
        <v>9401.85</v>
      </c>
      <c r="O56" s="8">
        <v>248492.15</v>
      </c>
      <c r="P56" s="9">
        <f t="shared" si="6"/>
        <v>3.7835601647778412</v>
      </c>
      <c r="Q56" s="8">
        <f t="shared" si="7"/>
        <v>1.1117240156083719</v>
      </c>
    </row>
    <row r="57" spans="1:17" x14ac:dyDescent="0.25">
      <c r="A57" t="s">
        <v>48</v>
      </c>
      <c r="B57">
        <v>9566</v>
      </c>
      <c r="C57" s="1">
        <v>44911.51</v>
      </c>
      <c r="D57" s="1">
        <v>1114317.54</v>
      </c>
      <c r="E57" s="2">
        <f t="shared" si="4"/>
        <v>4.0304050136373153</v>
      </c>
      <c r="F57" s="1">
        <f t="shared" si="5"/>
        <v>4.6949100982646881</v>
      </c>
      <c r="L57" s="7" t="s">
        <v>20</v>
      </c>
      <c r="M57" s="7">
        <v>12453</v>
      </c>
      <c r="N57" s="8">
        <v>12181.99</v>
      </c>
      <c r="O57" s="8">
        <v>405592.83</v>
      </c>
      <c r="P57" s="9">
        <f t="shared" si="6"/>
        <v>3.0035023055018009</v>
      </c>
      <c r="Q57" s="8">
        <f t="shared" si="7"/>
        <v>0.97823737252067777</v>
      </c>
    </row>
    <row r="58" spans="1:17" x14ac:dyDescent="0.25">
      <c r="A58" t="s">
        <v>67</v>
      </c>
      <c r="B58">
        <v>9421</v>
      </c>
      <c r="C58" s="1">
        <v>44902.11</v>
      </c>
      <c r="D58" s="1">
        <v>941404.65</v>
      </c>
      <c r="E58" s="2">
        <f t="shared" si="4"/>
        <v>4.7696928201916151</v>
      </c>
      <c r="F58" s="1">
        <f t="shared" si="5"/>
        <v>4.7661723808512901</v>
      </c>
      <c r="L58" s="7" t="s">
        <v>11</v>
      </c>
      <c r="M58" s="7">
        <v>5131</v>
      </c>
      <c r="N58" s="8">
        <v>4534.01</v>
      </c>
      <c r="O58" s="8">
        <v>198067.73</v>
      </c>
      <c r="P58" s="9">
        <f t="shared" si="6"/>
        <v>2.2891209991652857</v>
      </c>
      <c r="Q58" s="8">
        <f t="shared" si="7"/>
        <v>0.88365036055349844</v>
      </c>
    </row>
    <row r="59" spans="1:17" x14ac:dyDescent="0.25">
      <c r="A59" s="4" t="s">
        <v>25</v>
      </c>
      <c r="B59" s="4">
        <v>15673</v>
      </c>
      <c r="C59" s="5">
        <v>40060.33</v>
      </c>
      <c r="D59" s="5">
        <v>1244371.58</v>
      </c>
      <c r="E59" s="6">
        <f t="shared" si="4"/>
        <v>3.2193221577754132</v>
      </c>
      <c r="F59" s="5">
        <f t="shared" si="5"/>
        <v>2.5560090601671668</v>
      </c>
      <c r="L59" s="7" t="s">
        <v>26</v>
      </c>
      <c r="M59" s="7">
        <v>14867</v>
      </c>
      <c r="N59" s="8">
        <v>12890.83</v>
      </c>
      <c r="O59" s="8">
        <v>399080.61</v>
      </c>
      <c r="P59" s="9">
        <f t="shared" si="6"/>
        <v>3.2301318773668304</v>
      </c>
      <c r="Q59" s="8">
        <f t="shared" si="7"/>
        <v>0.86707674715813543</v>
      </c>
    </row>
    <row r="60" spans="1:17" x14ac:dyDescent="0.25">
      <c r="A60" s="4" t="s">
        <v>38</v>
      </c>
      <c r="B60" s="4">
        <v>11581</v>
      </c>
      <c r="C60" s="5">
        <v>39498.199999999997</v>
      </c>
      <c r="D60" s="5">
        <v>1024856.07</v>
      </c>
      <c r="E60" s="6">
        <f t="shared" si="4"/>
        <v>3.8540241070143635</v>
      </c>
      <c r="F60" s="5">
        <f t="shared" si="5"/>
        <v>3.410603574820827</v>
      </c>
      <c r="L60" s="7" t="s">
        <v>13</v>
      </c>
      <c r="M60" s="7">
        <v>11387</v>
      </c>
      <c r="N60" s="8">
        <v>9257.56</v>
      </c>
      <c r="O60" s="8">
        <v>351079.49</v>
      </c>
      <c r="P60" s="9">
        <f t="shared" si="6"/>
        <v>2.6368843135781015</v>
      </c>
      <c r="Q60" s="8">
        <f t="shared" si="7"/>
        <v>0.81299376481953101</v>
      </c>
    </row>
    <row r="61" spans="1:17" x14ac:dyDescent="0.25">
      <c r="A61" s="4" t="s">
        <v>83</v>
      </c>
      <c r="B61" s="4">
        <v>10680</v>
      </c>
      <c r="C61" s="5">
        <v>37829.24</v>
      </c>
      <c r="D61" s="5">
        <v>702357.9</v>
      </c>
      <c r="E61" s="6">
        <f t="shared" si="4"/>
        <v>5.3860346697887209</v>
      </c>
      <c r="F61" s="5">
        <f t="shared" si="5"/>
        <v>3.5420636704119848</v>
      </c>
      <c r="L61" s="7" t="s">
        <v>12</v>
      </c>
      <c r="M61" s="7">
        <v>7570</v>
      </c>
      <c r="N61" s="8">
        <v>6070.76</v>
      </c>
      <c r="O61" s="8">
        <v>260151.48</v>
      </c>
      <c r="P61" s="9">
        <f t="shared" si="6"/>
        <v>2.3335481312656765</v>
      </c>
      <c r="Q61" s="8">
        <f t="shared" si="7"/>
        <v>0.80194980184940556</v>
      </c>
    </row>
    <row r="62" spans="1:17" x14ac:dyDescent="0.25">
      <c r="A62" s="4" t="s">
        <v>74</v>
      </c>
      <c r="B62" s="4">
        <v>10350</v>
      </c>
      <c r="C62" s="5">
        <v>37155.68</v>
      </c>
      <c r="D62" s="5">
        <v>746083.11</v>
      </c>
      <c r="E62" s="6">
        <f t="shared" si="4"/>
        <v>4.9800993350459306</v>
      </c>
      <c r="F62" s="5">
        <f t="shared" si="5"/>
        <v>3.5899207729468601</v>
      </c>
      <c r="L62" s="7" t="s">
        <v>10</v>
      </c>
      <c r="M62" s="7">
        <v>10954</v>
      </c>
      <c r="N62" s="8">
        <v>8675.94</v>
      </c>
      <c r="O62" s="8">
        <v>382753.71</v>
      </c>
      <c r="P62" s="9">
        <f t="shared" si="6"/>
        <v>2.2667161083820715</v>
      </c>
      <c r="Q62" s="8">
        <f t="shared" si="7"/>
        <v>0.7920339601971883</v>
      </c>
    </row>
    <row r="63" spans="1:17" x14ac:dyDescent="0.25">
      <c r="A63" s="4" t="s">
        <v>59</v>
      </c>
      <c r="B63" s="4">
        <v>10302</v>
      </c>
      <c r="C63" s="5">
        <v>36939.01</v>
      </c>
      <c r="D63" s="5">
        <v>840077.29</v>
      </c>
      <c r="E63" s="6">
        <f t="shared" si="4"/>
        <v>4.3970966052421199</v>
      </c>
      <c r="F63" s="5">
        <f t="shared" si="5"/>
        <v>3.5856154144826249</v>
      </c>
      <c r="L63" s="7" t="s">
        <v>9</v>
      </c>
      <c r="M63" s="7">
        <v>4029</v>
      </c>
      <c r="N63" s="8">
        <v>2608.64</v>
      </c>
      <c r="O63" s="8">
        <v>125714.47</v>
      </c>
      <c r="P63" s="9">
        <f t="shared" si="6"/>
        <v>2.075051503617682</v>
      </c>
      <c r="Q63" s="8">
        <f t="shared" si="7"/>
        <v>0.64746587242491926</v>
      </c>
    </row>
    <row r="64" spans="1:17" x14ac:dyDescent="0.25">
      <c r="A64" s="4" t="s">
        <v>31</v>
      </c>
      <c r="B64" s="4">
        <v>26076</v>
      </c>
      <c r="C64" s="5">
        <v>35458.29</v>
      </c>
      <c r="D64" s="5">
        <v>994344.98</v>
      </c>
      <c r="E64" s="6">
        <f t="shared" si="4"/>
        <v>3.5659947717541653</v>
      </c>
      <c r="F64" s="5">
        <f t="shared" si="5"/>
        <v>1.3598055683387023</v>
      </c>
      <c r="L64" s="7" t="s">
        <v>44</v>
      </c>
      <c r="M64" s="7">
        <v>8753</v>
      </c>
      <c r="N64" s="8">
        <v>5526.74</v>
      </c>
      <c r="O64" s="8">
        <v>140947.39000000001</v>
      </c>
      <c r="P64" s="9">
        <f t="shared" si="6"/>
        <v>3.9211368156586648</v>
      </c>
      <c r="Q64" s="8">
        <f t="shared" si="7"/>
        <v>0.63141094481891924</v>
      </c>
    </row>
    <row r="65" spans="1:17" x14ac:dyDescent="0.25">
      <c r="A65" s="4" t="s">
        <v>35</v>
      </c>
      <c r="B65" s="4">
        <v>9815</v>
      </c>
      <c r="C65" s="5">
        <v>35280.74</v>
      </c>
      <c r="D65" s="5">
        <v>940960.97</v>
      </c>
      <c r="E65" s="6">
        <f t="shared" si="4"/>
        <v>3.74943713127655</v>
      </c>
      <c r="F65" s="5">
        <f t="shared" si="5"/>
        <v>3.5945736118186447</v>
      </c>
      <c r="L65" s="7" t="s">
        <v>14</v>
      </c>
      <c r="M65" s="7">
        <v>10511</v>
      </c>
      <c r="N65" s="8">
        <v>5639.28</v>
      </c>
      <c r="O65" s="8">
        <v>212602.13</v>
      </c>
      <c r="P65" s="9">
        <f t="shared" si="6"/>
        <v>2.6525039989016101</v>
      </c>
      <c r="Q65" s="8">
        <f t="shared" si="7"/>
        <v>0.53651222528779374</v>
      </c>
    </row>
    <row r="66" spans="1:17" x14ac:dyDescent="0.25">
      <c r="A66" s="4" t="s">
        <v>60</v>
      </c>
      <c r="B66" s="4">
        <v>9243</v>
      </c>
      <c r="C66" s="5">
        <v>34907.31</v>
      </c>
      <c r="D66" s="5">
        <v>790327.5</v>
      </c>
      <c r="E66" s="6">
        <f t="shared" ref="E66:E97" si="8">C66/D66*100</f>
        <v>4.416815813697486</v>
      </c>
      <c r="F66" s="5">
        <f t="shared" ref="F66:F100" si="9">C66/B66</f>
        <v>3.7766212268743913</v>
      </c>
      <c r="L66" s="7" t="s">
        <v>6</v>
      </c>
      <c r="M66" s="7">
        <v>6317</v>
      </c>
      <c r="N66" s="8">
        <v>2640.79</v>
      </c>
      <c r="O66" s="8">
        <v>150083.92000000001</v>
      </c>
      <c r="P66" s="9">
        <f t="shared" ref="P66:P97" si="10">N66/O66*100</f>
        <v>1.7595422614228091</v>
      </c>
      <c r="Q66" s="8">
        <f t="shared" si="7"/>
        <v>0.41804495804970715</v>
      </c>
    </row>
    <row r="67" spans="1:17" x14ac:dyDescent="0.25">
      <c r="A67" s="4" t="s">
        <v>45</v>
      </c>
      <c r="B67" s="4">
        <v>17767</v>
      </c>
      <c r="C67" s="5">
        <v>34468.89</v>
      </c>
      <c r="D67" s="5">
        <v>876011.17</v>
      </c>
      <c r="E67" s="6">
        <f t="shared" si="8"/>
        <v>3.9347546219073894</v>
      </c>
      <c r="F67" s="5">
        <f t="shared" si="9"/>
        <v>1.9400512185512466</v>
      </c>
      <c r="L67" s="11" t="s">
        <v>7</v>
      </c>
      <c r="M67" s="11">
        <v>7441</v>
      </c>
      <c r="N67" s="12">
        <v>324</v>
      </c>
      <c r="O67" s="12">
        <v>16603.669999999998</v>
      </c>
      <c r="P67" s="13">
        <f t="shared" si="10"/>
        <v>1.9513758102877259</v>
      </c>
      <c r="Q67" s="12">
        <f t="shared" si="7"/>
        <v>4.3542534605563767E-2</v>
      </c>
    </row>
    <row r="68" spans="1:17" x14ac:dyDescent="0.25">
      <c r="A68" s="4" t="s">
        <v>80</v>
      </c>
      <c r="B68" s="4">
        <v>15059</v>
      </c>
      <c r="C68" s="5">
        <v>32333.08</v>
      </c>
      <c r="D68" s="5">
        <v>617724.37</v>
      </c>
      <c r="E68" s="6">
        <f t="shared" si="8"/>
        <v>5.23422444868089</v>
      </c>
      <c r="F68" s="5">
        <f t="shared" si="9"/>
        <v>2.147093432498838</v>
      </c>
    </row>
    <row r="69" spans="1:17" x14ac:dyDescent="0.25">
      <c r="A69" s="4" t="s">
        <v>71</v>
      </c>
      <c r="B69" s="4">
        <v>10776</v>
      </c>
      <c r="C69" s="5">
        <v>31717.83</v>
      </c>
      <c r="D69" s="5">
        <v>644715.72</v>
      </c>
      <c r="E69" s="6">
        <f t="shared" si="8"/>
        <v>4.9196613353867038</v>
      </c>
      <c r="F69" s="5">
        <f t="shared" si="9"/>
        <v>2.9433769487750556</v>
      </c>
    </row>
    <row r="70" spans="1:17" x14ac:dyDescent="0.25">
      <c r="A70" s="4" t="s">
        <v>18</v>
      </c>
      <c r="B70" s="4">
        <v>12072</v>
      </c>
      <c r="C70" s="5">
        <v>28436.58</v>
      </c>
      <c r="D70" s="5">
        <v>981007.93</v>
      </c>
      <c r="E70" s="6">
        <f t="shared" si="8"/>
        <v>2.898710512972102</v>
      </c>
      <c r="F70" s="5">
        <f t="shared" si="9"/>
        <v>2.3555815109343938</v>
      </c>
    </row>
    <row r="71" spans="1:17" x14ac:dyDescent="0.25">
      <c r="A71" s="4" t="s">
        <v>104</v>
      </c>
      <c r="B71" s="4">
        <v>7598</v>
      </c>
      <c r="C71" s="5">
        <v>27787.5</v>
      </c>
      <c r="D71" s="5">
        <v>339968.23</v>
      </c>
      <c r="E71" s="6">
        <f t="shared" si="8"/>
        <v>8.1735578645098705</v>
      </c>
      <c r="F71" s="5">
        <f t="shared" si="9"/>
        <v>3.6572124243221902</v>
      </c>
    </row>
    <row r="72" spans="1:17" x14ac:dyDescent="0.25">
      <c r="A72" s="4" t="s">
        <v>54</v>
      </c>
      <c r="B72" s="4">
        <v>14928</v>
      </c>
      <c r="C72" s="5">
        <v>27614.22</v>
      </c>
      <c r="D72" s="5">
        <v>651345.05000000005</v>
      </c>
      <c r="E72" s="6">
        <f t="shared" si="8"/>
        <v>4.2395685666145768</v>
      </c>
      <c r="F72" s="5">
        <f t="shared" si="9"/>
        <v>1.8498271704180065</v>
      </c>
    </row>
    <row r="73" spans="1:17" x14ac:dyDescent="0.25">
      <c r="A73" s="4" t="s">
        <v>87</v>
      </c>
      <c r="B73" s="4">
        <v>9670</v>
      </c>
      <c r="C73" s="5">
        <v>27261.48</v>
      </c>
      <c r="D73" s="5">
        <v>482178.34</v>
      </c>
      <c r="E73" s="6">
        <f t="shared" si="8"/>
        <v>5.6538168014763999</v>
      </c>
      <c r="F73" s="5">
        <f t="shared" si="9"/>
        <v>2.8191809720785934</v>
      </c>
    </row>
    <row r="74" spans="1:17" x14ac:dyDescent="0.25">
      <c r="A74" s="4" t="s">
        <v>28</v>
      </c>
      <c r="B74" s="4">
        <v>18499</v>
      </c>
      <c r="C74" s="5">
        <v>27141.01</v>
      </c>
      <c r="D74" s="5">
        <v>783200.87</v>
      </c>
      <c r="E74" s="6">
        <f t="shared" si="8"/>
        <v>3.4653957930358277</v>
      </c>
      <c r="F74" s="5">
        <f t="shared" si="9"/>
        <v>1.4671609276177089</v>
      </c>
    </row>
    <row r="75" spans="1:17" x14ac:dyDescent="0.25">
      <c r="A75" s="4" t="s">
        <v>22</v>
      </c>
      <c r="B75" s="4">
        <v>15679</v>
      </c>
      <c r="C75" s="5">
        <v>26196.1</v>
      </c>
      <c r="D75" s="5">
        <v>848829.42</v>
      </c>
      <c r="E75" s="6">
        <f t="shared" si="8"/>
        <v>3.0861442102230621</v>
      </c>
      <c r="F75" s="5">
        <f t="shared" si="9"/>
        <v>1.6707761974615727</v>
      </c>
    </row>
    <row r="76" spans="1:17" x14ac:dyDescent="0.25">
      <c r="A76" s="4" t="s">
        <v>23</v>
      </c>
      <c r="B76" s="4">
        <v>9286</v>
      </c>
      <c r="C76" s="5">
        <v>26126.79</v>
      </c>
      <c r="D76" s="5">
        <v>845731.43</v>
      </c>
      <c r="E76" s="6">
        <f t="shared" si="8"/>
        <v>3.0892537599081544</v>
      </c>
      <c r="F76" s="5">
        <f t="shared" si="9"/>
        <v>2.8135677363773421</v>
      </c>
    </row>
    <row r="77" spans="1:17" x14ac:dyDescent="0.25">
      <c r="A77" s="4" t="s">
        <v>21</v>
      </c>
      <c r="B77" s="4">
        <v>10740</v>
      </c>
      <c r="C77" s="5">
        <v>25670.92</v>
      </c>
      <c r="D77" s="5">
        <v>839109.2</v>
      </c>
      <c r="E77" s="6">
        <f t="shared" si="8"/>
        <v>3.0593062261741379</v>
      </c>
      <c r="F77" s="5">
        <f t="shared" si="9"/>
        <v>2.3902160148975788</v>
      </c>
    </row>
    <row r="78" spans="1:17" x14ac:dyDescent="0.25">
      <c r="A78" s="4" t="s">
        <v>47</v>
      </c>
      <c r="B78" s="4">
        <v>7089</v>
      </c>
      <c r="C78" s="5">
        <v>24214.49</v>
      </c>
      <c r="D78" s="5">
        <v>603641</v>
      </c>
      <c r="E78" s="6">
        <f t="shared" si="8"/>
        <v>4.0114057858892949</v>
      </c>
      <c r="F78" s="5">
        <f t="shared" si="9"/>
        <v>3.4157836084073918</v>
      </c>
    </row>
    <row r="79" spans="1:17" x14ac:dyDescent="0.25">
      <c r="A79" s="4" t="s">
        <v>51</v>
      </c>
      <c r="B79" s="4">
        <v>9336</v>
      </c>
      <c r="C79" s="5">
        <v>22717.33</v>
      </c>
      <c r="D79" s="5">
        <v>548905.25</v>
      </c>
      <c r="E79" s="6">
        <f t="shared" si="8"/>
        <v>4.1386614538665834</v>
      </c>
      <c r="F79" s="5">
        <f t="shared" si="9"/>
        <v>2.43330441302485</v>
      </c>
    </row>
    <row r="80" spans="1:17" x14ac:dyDescent="0.25">
      <c r="A80" s="4" t="s">
        <v>29</v>
      </c>
      <c r="B80" s="4">
        <v>7682</v>
      </c>
      <c r="C80" s="5">
        <v>21515.54</v>
      </c>
      <c r="D80" s="5">
        <v>603088.67000000004</v>
      </c>
      <c r="E80" s="6">
        <f t="shared" si="8"/>
        <v>3.5675583160930544</v>
      </c>
      <c r="F80" s="5">
        <f t="shared" si="9"/>
        <v>2.8007732361364228</v>
      </c>
    </row>
    <row r="81" spans="1:6" x14ac:dyDescent="0.25">
      <c r="A81" s="4" t="s">
        <v>72</v>
      </c>
      <c r="B81" s="4">
        <v>11341</v>
      </c>
      <c r="C81" s="5">
        <v>19724.16</v>
      </c>
      <c r="D81" s="5">
        <v>399807.53</v>
      </c>
      <c r="E81" s="6">
        <f t="shared" si="8"/>
        <v>4.9334138354022494</v>
      </c>
      <c r="F81" s="5">
        <f t="shared" si="9"/>
        <v>1.739190547570761</v>
      </c>
    </row>
    <row r="82" spans="1:6" x14ac:dyDescent="0.25">
      <c r="A82" s="4" t="s">
        <v>102</v>
      </c>
      <c r="B82" s="4">
        <v>6119</v>
      </c>
      <c r="C82" s="5">
        <v>18226.759999999998</v>
      </c>
      <c r="D82" s="5">
        <v>241821.88</v>
      </c>
      <c r="E82" s="6">
        <f t="shared" si="8"/>
        <v>7.5372666857109856</v>
      </c>
      <c r="F82" s="5">
        <f t="shared" si="9"/>
        <v>2.9787154763850299</v>
      </c>
    </row>
    <row r="83" spans="1:6" x14ac:dyDescent="0.25">
      <c r="A83" s="4" t="s">
        <v>19</v>
      </c>
      <c r="B83" s="4">
        <v>12439</v>
      </c>
      <c r="C83" s="5">
        <v>16101.61</v>
      </c>
      <c r="D83" s="5">
        <v>548956.25</v>
      </c>
      <c r="E83" s="6">
        <f t="shared" si="8"/>
        <v>2.9331317386403746</v>
      </c>
      <c r="F83" s="5">
        <f t="shared" si="9"/>
        <v>1.2944456949915588</v>
      </c>
    </row>
    <row r="84" spans="1:6" x14ac:dyDescent="0.25">
      <c r="A84" s="4" t="s">
        <v>15</v>
      </c>
      <c r="B84" s="4">
        <v>8898</v>
      </c>
      <c r="C84" s="5">
        <v>15618.24</v>
      </c>
      <c r="D84" s="5">
        <v>580658.38</v>
      </c>
      <c r="E84" s="6">
        <f t="shared" si="8"/>
        <v>2.6897467664205585</v>
      </c>
      <c r="F84" s="5">
        <f t="shared" si="9"/>
        <v>1.7552528658125421</v>
      </c>
    </row>
    <row r="85" spans="1:6" x14ac:dyDescent="0.25">
      <c r="A85" s="4" t="s">
        <v>26</v>
      </c>
      <c r="B85" s="4">
        <v>14867</v>
      </c>
      <c r="C85" s="5">
        <v>12890.83</v>
      </c>
      <c r="D85" s="5">
        <v>399080.61</v>
      </c>
      <c r="E85" s="6">
        <f t="shared" si="8"/>
        <v>3.2301318773668304</v>
      </c>
      <c r="F85" s="5">
        <f t="shared" si="9"/>
        <v>0.86707674715813543</v>
      </c>
    </row>
    <row r="86" spans="1:6" x14ac:dyDescent="0.25">
      <c r="A86" s="4" t="s">
        <v>20</v>
      </c>
      <c r="B86" s="4">
        <v>12453</v>
      </c>
      <c r="C86" s="5">
        <v>12181.99</v>
      </c>
      <c r="D86" s="5">
        <v>405592.83</v>
      </c>
      <c r="E86" s="6">
        <f t="shared" si="8"/>
        <v>3.0035023055018009</v>
      </c>
      <c r="F86" s="5">
        <f t="shared" si="9"/>
        <v>0.97823737252067777</v>
      </c>
    </row>
    <row r="87" spans="1:6" x14ac:dyDescent="0.25">
      <c r="A87" s="4" t="s">
        <v>16</v>
      </c>
      <c r="B87" s="4">
        <v>7970</v>
      </c>
      <c r="C87" s="5">
        <v>11394.74</v>
      </c>
      <c r="D87" s="5">
        <v>417543.16</v>
      </c>
      <c r="E87" s="6">
        <f t="shared" si="8"/>
        <v>2.7289969257309834</v>
      </c>
      <c r="F87" s="5">
        <f t="shared" si="9"/>
        <v>1.4297038895859473</v>
      </c>
    </row>
    <row r="88" spans="1:6" x14ac:dyDescent="0.25">
      <c r="A88" s="4" t="s">
        <v>24</v>
      </c>
      <c r="B88" s="4">
        <v>6462</v>
      </c>
      <c r="C88" s="5">
        <v>11060.08</v>
      </c>
      <c r="D88" s="5">
        <v>344176.87</v>
      </c>
      <c r="E88" s="6">
        <f t="shared" si="8"/>
        <v>3.2134872979697908</v>
      </c>
      <c r="F88" s="5">
        <f t="shared" si="9"/>
        <v>1.7115567935623646</v>
      </c>
    </row>
    <row r="89" spans="1:6" x14ac:dyDescent="0.25">
      <c r="A89" s="4" t="s">
        <v>8</v>
      </c>
      <c r="B89" s="4">
        <v>7310</v>
      </c>
      <c r="C89" s="5">
        <v>10341.44</v>
      </c>
      <c r="D89" s="5">
        <v>500771.13</v>
      </c>
      <c r="E89" s="6">
        <f t="shared" si="8"/>
        <v>2.065103074132888</v>
      </c>
      <c r="F89" s="5">
        <f t="shared" si="9"/>
        <v>1.4146976744186046</v>
      </c>
    </row>
    <row r="90" spans="1:6" x14ac:dyDescent="0.25">
      <c r="A90" s="4" t="s">
        <v>37</v>
      </c>
      <c r="B90" s="4">
        <v>8457</v>
      </c>
      <c r="C90" s="5">
        <v>9401.85</v>
      </c>
      <c r="D90" s="5">
        <v>248492.15</v>
      </c>
      <c r="E90" s="6">
        <f t="shared" si="8"/>
        <v>3.7835601647778412</v>
      </c>
      <c r="F90" s="5">
        <f t="shared" si="9"/>
        <v>1.1117240156083719</v>
      </c>
    </row>
    <row r="91" spans="1:6" x14ac:dyDescent="0.25">
      <c r="A91" s="4" t="s">
        <v>13</v>
      </c>
      <c r="B91" s="4">
        <v>11387</v>
      </c>
      <c r="C91" s="5">
        <v>9257.56</v>
      </c>
      <c r="D91" s="5">
        <v>351079.49</v>
      </c>
      <c r="E91" s="6">
        <f t="shared" si="8"/>
        <v>2.6368843135781015</v>
      </c>
      <c r="F91" s="5">
        <f t="shared" si="9"/>
        <v>0.81299376481953101</v>
      </c>
    </row>
    <row r="92" spans="1:6" x14ac:dyDescent="0.25">
      <c r="A92" s="4" t="s">
        <v>10</v>
      </c>
      <c r="B92" s="4">
        <v>10954</v>
      </c>
      <c r="C92" s="5">
        <v>8675.94</v>
      </c>
      <c r="D92" s="5">
        <v>382753.71</v>
      </c>
      <c r="E92" s="6">
        <f t="shared" si="8"/>
        <v>2.2667161083820715</v>
      </c>
      <c r="F92" s="5">
        <f t="shared" si="9"/>
        <v>0.7920339601971883</v>
      </c>
    </row>
    <row r="93" spans="1:6" x14ac:dyDescent="0.25">
      <c r="A93" s="4" t="s">
        <v>100</v>
      </c>
      <c r="B93" s="4">
        <v>6403</v>
      </c>
      <c r="C93" s="5">
        <v>7228.42</v>
      </c>
      <c r="D93" s="5">
        <v>98824.4</v>
      </c>
      <c r="E93" s="6">
        <f t="shared" si="8"/>
        <v>7.3144081825945824</v>
      </c>
      <c r="F93" s="5">
        <f t="shared" si="9"/>
        <v>1.1289114477588631</v>
      </c>
    </row>
    <row r="94" spans="1:6" x14ac:dyDescent="0.25">
      <c r="A94" s="4" t="s">
        <v>12</v>
      </c>
      <c r="B94" s="4">
        <v>7570</v>
      </c>
      <c r="C94" s="5">
        <v>6070.76</v>
      </c>
      <c r="D94" s="5">
        <v>260151.48</v>
      </c>
      <c r="E94" s="6">
        <f t="shared" si="8"/>
        <v>2.3335481312656765</v>
      </c>
      <c r="F94" s="5">
        <f t="shared" si="9"/>
        <v>0.80194980184940556</v>
      </c>
    </row>
    <row r="95" spans="1:6" x14ac:dyDescent="0.25">
      <c r="A95" s="4" t="s">
        <v>14</v>
      </c>
      <c r="B95" s="4">
        <v>10511</v>
      </c>
      <c r="C95" s="5">
        <v>5639.28</v>
      </c>
      <c r="D95" s="5">
        <v>212602.13</v>
      </c>
      <c r="E95" s="6">
        <f t="shared" si="8"/>
        <v>2.6525039989016101</v>
      </c>
      <c r="F95" s="5">
        <f t="shared" si="9"/>
        <v>0.53651222528779374</v>
      </c>
    </row>
    <row r="96" spans="1:6" x14ac:dyDescent="0.25">
      <c r="A96" s="4" t="s">
        <v>44</v>
      </c>
      <c r="B96" s="4">
        <v>8753</v>
      </c>
      <c r="C96" s="5">
        <v>5526.74</v>
      </c>
      <c r="D96" s="5">
        <v>140947.39000000001</v>
      </c>
      <c r="E96" s="6">
        <f t="shared" si="8"/>
        <v>3.9211368156586648</v>
      </c>
      <c r="F96" s="5">
        <f t="shared" si="9"/>
        <v>0.63141094481891924</v>
      </c>
    </row>
    <row r="97" spans="1:6" x14ac:dyDescent="0.25">
      <c r="A97" s="4" t="s">
        <v>11</v>
      </c>
      <c r="B97" s="4">
        <v>5131</v>
      </c>
      <c r="C97" s="5">
        <v>4534.01</v>
      </c>
      <c r="D97" s="5">
        <v>198067.73</v>
      </c>
      <c r="E97" s="6">
        <f t="shared" si="8"/>
        <v>2.2891209991652857</v>
      </c>
      <c r="F97" s="5">
        <f t="shared" si="9"/>
        <v>0.88365036055349844</v>
      </c>
    </row>
    <row r="98" spans="1:6" x14ac:dyDescent="0.25">
      <c r="A98" s="4" t="s">
        <v>6</v>
      </c>
      <c r="B98" s="4">
        <v>6317</v>
      </c>
      <c r="C98" s="5">
        <v>2640.79</v>
      </c>
      <c r="D98" s="5">
        <v>150083.92000000001</v>
      </c>
      <c r="E98" s="6">
        <f t="shared" ref="E98:E129" si="11">C98/D98*100</f>
        <v>1.7595422614228091</v>
      </c>
      <c r="F98" s="5">
        <f t="shared" si="9"/>
        <v>0.41804495804970715</v>
      </c>
    </row>
    <row r="99" spans="1:6" x14ac:dyDescent="0.25">
      <c r="A99" s="4" t="s">
        <v>9</v>
      </c>
      <c r="B99" s="4">
        <v>4029</v>
      </c>
      <c r="C99" s="5">
        <v>2608.64</v>
      </c>
      <c r="D99" s="5">
        <v>125714.47</v>
      </c>
      <c r="E99" s="6">
        <f t="shared" si="11"/>
        <v>2.075051503617682</v>
      </c>
      <c r="F99" s="5">
        <f t="shared" si="9"/>
        <v>0.64746587242491926</v>
      </c>
    </row>
    <row r="100" spans="1:6" x14ac:dyDescent="0.25">
      <c r="A100" s="4" t="s">
        <v>7</v>
      </c>
      <c r="B100" s="4">
        <v>7441</v>
      </c>
      <c r="C100" s="5">
        <v>324</v>
      </c>
      <c r="D100" s="5">
        <v>16603.669999999998</v>
      </c>
      <c r="E100" s="6">
        <f t="shared" si="11"/>
        <v>1.9513758102877259</v>
      </c>
      <c r="F100" s="5">
        <f t="shared" si="9"/>
        <v>4.3542534605563767E-2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E1DB6-A84C-4EEE-ACE0-FB7510F0E179}">
  <dimension ref="A1:F7"/>
  <sheetViews>
    <sheetView workbookViewId="0">
      <selection sqref="A1:F7"/>
    </sheetView>
  </sheetViews>
  <sheetFormatPr defaultRowHeight="15" x14ac:dyDescent="0.25"/>
  <cols>
    <col min="2" max="2" width="10.7109375" bestFit="1" customWidth="1"/>
    <col min="3" max="3" width="16" bestFit="1" customWidth="1"/>
    <col min="4" max="4" width="20.85546875" bestFit="1" customWidth="1"/>
    <col min="6" max="6" width="26.5703125" bestFit="1" customWidth="1"/>
  </cols>
  <sheetData>
    <row r="1" spans="1:6" x14ac:dyDescent="0.25">
      <c r="A1" s="29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5" t="s">
        <v>5</v>
      </c>
    </row>
    <row r="2" spans="1:6" x14ac:dyDescent="0.25">
      <c r="A2" s="30" t="s">
        <v>89</v>
      </c>
      <c r="B2" s="32">
        <v>430640</v>
      </c>
      <c r="C2" s="23">
        <v>4998921</v>
      </c>
      <c r="D2" s="23">
        <v>86397461.790000007</v>
      </c>
      <c r="E2" s="24">
        <f t="shared" ref="E2:E7" si="0">C2/D2*100</f>
        <v>5.7859581710288106</v>
      </c>
      <c r="F2" s="25">
        <f t="shared" ref="F2:F7" si="1">C2/B2</f>
        <v>11.608120471855843</v>
      </c>
    </row>
    <row r="3" spans="1:6" x14ac:dyDescent="0.25">
      <c r="A3" s="30" t="s">
        <v>95</v>
      </c>
      <c r="B3" s="33">
        <v>165224</v>
      </c>
      <c r="C3" s="26">
        <v>1741874.47</v>
      </c>
      <c r="D3" s="26">
        <v>27902848.670000002</v>
      </c>
      <c r="E3" s="27">
        <f t="shared" si="0"/>
        <v>6.2426402787783886</v>
      </c>
      <c r="F3" s="28">
        <f t="shared" si="1"/>
        <v>10.542502723575268</v>
      </c>
    </row>
    <row r="4" spans="1:6" x14ac:dyDescent="0.25">
      <c r="A4" s="30" t="s">
        <v>70</v>
      </c>
      <c r="B4" s="32">
        <v>211226</v>
      </c>
      <c r="C4" s="23">
        <v>1692016.44</v>
      </c>
      <c r="D4" s="23">
        <v>34460047.490000002</v>
      </c>
      <c r="E4" s="24">
        <f t="shared" si="0"/>
        <v>4.9100815676211944</v>
      </c>
      <c r="F4" s="25">
        <f t="shared" si="1"/>
        <v>8.0104553416719533</v>
      </c>
    </row>
    <row r="5" spans="1:6" x14ac:dyDescent="0.25">
      <c r="A5" s="30" t="s">
        <v>93</v>
      </c>
      <c r="B5" s="33">
        <v>130882</v>
      </c>
      <c r="C5" s="26">
        <v>1471673.94</v>
      </c>
      <c r="D5" s="26">
        <v>24200402.25</v>
      </c>
      <c r="E5" s="27">
        <f t="shared" si="0"/>
        <v>6.0811961916872681</v>
      </c>
      <c r="F5" s="28">
        <f t="shared" si="1"/>
        <v>11.244280649745573</v>
      </c>
    </row>
    <row r="6" spans="1:6" x14ac:dyDescent="0.25">
      <c r="A6" s="30" t="s">
        <v>77</v>
      </c>
      <c r="B6" s="32">
        <v>131090</v>
      </c>
      <c r="C6" s="23">
        <v>1169665.99</v>
      </c>
      <c r="D6" s="23">
        <v>22967283.289999999</v>
      </c>
      <c r="E6" s="24">
        <f t="shared" si="0"/>
        <v>5.092748564255638</v>
      </c>
      <c r="F6" s="25">
        <f t="shared" si="1"/>
        <v>8.9226179723853836</v>
      </c>
    </row>
    <row r="7" spans="1:6" x14ac:dyDescent="0.25">
      <c r="A7" s="31" t="s">
        <v>99</v>
      </c>
      <c r="B7" s="33">
        <v>16667</v>
      </c>
      <c r="C7" s="26">
        <v>355642.88</v>
      </c>
      <c r="D7" s="26">
        <v>5142111.9000000004</v>
      </c>
      <c r="E7" s="27">
        <f t="shared" si="0"/>
        <v>6.9162804488949376</v>
      </c>
      <c r="F7" s="28">
        <f t="shared" si="1"/>
        <v>21.338146037079259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data-1777486098589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onur karaer</cp:lastModifiedBy>
  <dcterms:created xsi:type="dcterms:W3CDTF">2026-04-29T18:08:56Z</dcterms:created>
  <dcterms:modified xsi:type="dcterms:W3CDTF">2026-04-30T21:16:17Z</dcterms:modified>
</cp:coreProperties>
</file>
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07D98AAC-8150-476C-8A82-25505D24545C}" xr6:coauthVersionLast="47" xr6:coauthVersionMax="47" xr10:uidLastSave="{00000000-0000-0000-0000-000000000000}"/>
  <bookViews>
    <workbookView xWindow="-120" yWindow="-120" windowWidth="29040" windowHeight="15720" xr2:uid="{12C91C7C-56FE-4FB1-92D7-331A5E47D64E}"/>
  </bookViews>
  <sheets>
    <sheet name="data-1777492718949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</calcChain>
</file>

<file path=xl/sharedStrings.xml><?xml version="1.0" encoding="utf-8"?>
<sst xmlns="http://schemas.openxmlformats.org/spreadsheetml/2006/main" count="16" uniqueCount="9">
  <si>
    <t>vendor_group</t>
  </si>
  <si>
    <t>total_revenue</t>
  </si>
  <si>
    <t>overall_market_share_pct</t>
  </si>
  <si>
    <t>Others</t>
  </si>
  <si>
    <t>Diageo Americas</t>
  </si>
  <si>
    <t>Pernod Ricard</t>
  </si>
  <si>
    <t>Luxco</t>
  </si>
  <si>
    <t>Bacardi</t>
  </si>
  <si>
    <t>Rest of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</si>
</sst>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'data-1777492718949'!$B$11</c:f>
              <c:strCache>
                <c:ptCount val="1"/>
                <c:pt idx="0">
                  <c:v>overall_market_share_pct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72-4082-889F-FA5C7FD328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72-4082-889F-FA5C7FD328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172-4082-889F-FA5C7FD328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172-4082-889F-FA5C7FD328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C9-42DC-BEAD-80A48821B2C9}"/>
              </c:ext>
            </c:extLst>
          </c:dPt>
          <c:cat>
            <c:strRef>
              <c:f>'data-1777492718949'!$A$12:$A$16</c:f>
              <c:strCache>
                <c:ptCount val="5"/>
                <c:pt idx="0">
                  <c:v>Others</c:v>
                </c:pt>
                <c:pt idx="1">
                  <c:v>Diageo Americas</c:v>
                </c:pt>
                <c:pt idx="2">
                  <c:v>Pernod Ricard</c:v>
                </c:pt>
                <c:pt idx="3">
                  <c:v>Luxco</c:v>
                </c:pt>
                <c:pt idx="4">
                  <c:v>Bacardi</c:v>
                </c:pt>
              </c:strCache>
            </c:strRef>
          </c:cat>
          <c:val>
            <c:numRef>
              <c:f>'data-1777492718949'!$B$12:$B$16</c:f>
              <c:numCache>
                <c:formatCode>General</c:formatCode>
                <c:ptCount val="5"/>
                <c:pt idx="0">
                  <c:v>59.09</c:v>
                </c:pt>
                <c:pt idx="1">
                  <c:v>21.48</c:v>
                </c:pt>
                <c:pt idx="2">
                  <c:v>7.18</c:v>
                </c:pt>
                <c:pt idx="3">
                  <c:v>6.84</c:v>
                </c:pt>
                <c:pt idx="4">
                  <c:v>5.41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9-42DC-BEAD-80A48821B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'data-1777492718949'!$A$16:$A$17</c:f>
              <c:strCache>
                <c:ptCount val="2"/>
                <c:pt idx="0">
                  <c:v>Bacardi</c:v>
                </c:pt>
                <c:pt idx="1">
                  <c:v>Rest of Market</c:v>
                </c:pt>
              </c:strCache>
            </c:strRef>
          </c:cat>
          <c:val>
            <c:numRef>
              <c:f>'data-1777492718949'!$B$16:$B$17</c:f>
              <c:numCache>
                <c:formatCode>General</c:formatCode>
                <c:ptCount val="2"/>
                <c:pt idx="0">
                  <c:v>5.41</c:v>
                </c:pt>
                <c:pt idx="1">
                  <c:v>94.59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58-4821-8383-F7A6B6800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495300</xdr:colOff>
      <xdr:row>11</xdr:row>
      <xdr:rowOff>52387</xdr:rowOff>
    </xdr:from>
    <xdr:to>
      <xdr:col>15</xdr:col>
      <xdr:colOff>190500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3F6896-0313-2EED-30B4-356A06DDB7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352425</xdr:colOff>
      <xdr:row>11</xdr:row>
      <xdr:rowOff>52387</xdr:rowOff>
    </xdr:from>
    <xdr:to>
      <xdr:col>15</xdr:col>
      <xdr:colOff>47625</xdr:colOff>
      <xdr:row>25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146D10-1E6F-D2FC-4FCE-5E7FC7C71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864552-C017-4048-A31D-A2D56F313CA6}" name="Table1" displayName="Table1" ref="A1:C6" totalsRowShown="0">
  <autoFilter ref="A1:C6" xr:uid="{AD864552-C017-4048-A31D-A2D56F313CA6}"/>
  <tableColumns count="3">
    <tableColumn id="1" xr3:uid="{C0416897-791C-408A-8878-D485D729AD3B}" name="vendor_group"/>
    <tableColumn id="2" xr3:uid="{36510C00-F1AE-42F5-9E96-FD7640FAC2E2}" name="total_revenue" dataDxfId="0"/>
    <tableColumn id="3" xr3:uid="{A962A342-752F-4CB1-A5E7-8776A4E2AC8B}" name="overall_market_share_p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689A-D4CA-4478-891F-C9FBD277BF3B}">
  <dimension ref="A1:C17"/>
  <sheetViews>
    <sheetView tabSelected="1" workbookViewId="0">
      <selection activeCell="F17" sqref="F17"/>
    </sheetView>
  </sheetViews>
  <sheetFormatPr defaultRowHeight="15" x14ac:dyDescent="0.25"/>
  <cols>
    <col min="1" max="1" width="16" bestFit="1" customWidth="1"/>
    <col min="2" max="2" width="15.5703125" bestFit="1" customWidth="1"/>
    <col min="3" max="3" width="26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s="1">
        <v>231805561.43000001</v>
      </c>
      <c r="C2">
        <v>59.09</v>
      </c>
    </row>
    <row r="3" spans="1:3" x14ac:dyDescent="0.25">
      <c r="A3" t="s">
        <v>4</v>
      </c>
      <c r="B3" s="1">
        <v>84264824.469999999</v>
      </c>
      <c r="C3">
        <v>21.48</v>
      </c>
    </row>
    <row r="4" spans="1:3" x14ac:dyDescent="0.25">
      <c r="A4" t="s">
        <v>5</v>
      </c>
      <c r="B4" s="1">
        <v>28157424.530000001</v>
      </c>
      <c r="C4">
        <v>7.18</v>
      </c>
    </row>
    <row r="5" spans="1:3" x14ac:dyDescent="0.25">
      <c r="A5" t="s">
        <v>6</v>
      </c>
      <c r="B5" s="1">
        <v>26848856.460000001</v>
      </c>
      <c r="C5">
        <v>6.84</v>
      </c>
    </row>
    <row r="6" spans="1:3" x14ac:dyDescent="0.25">
      <c r="A6" t="s">
        <v>7</v>
      </c>
      <c r="B6" s="1">
        <v>21216356.719999999</v>
      </c>
      <c r="C6">
        <v>5.41</v>
      </c>
    </row>
    <row r="11" spans="1:3" x14ac:dyDescent="0.25">
      <c r="A11" t="s">
        <v>0</v>
      </c>
      <c r="B11" t="s">
        <v>2</v>
      </c>
    </row>
    <row r="12" spans="1:3" x14ac:dyDescent="0.25">
      <c r="A12" t="s">
        <v>3</v>
      </c>
      <c r="B12">
        <v>59.09</v>
      </c>
    </row>
    <row r="13" spans="1:3" x14ac:dyDescent="0.25">
      <c r="A13" t="s">
        <v>4</v>
      </c>
      <c r="B13">
        <v>21.48</v>
      </c>
    </row>
    <row r="14" spans="1:3" x14ac:dyDescent="0.25">
      <c r="A14" t="s">
        <v>5</v>
      </c>
      <c r="B14">
        <v>7.18</v>
      </c>
    </row>
    <row r="15" spans="1:3" x14ac:dyDescent="0.25">
      <c r="A15" t="s">
        <v>6</v>
      </c>
      <c r="B15">
        <v>6.84</v>
      </c>
    </row>
    <row r="16" spans="1:3" x14ac:dyDescent="0.25">
      <c r="A16" t="s">
        <v>7</v>
      </c>
      <c r="B16">
        <v>5.41</v>
      </c>
    </row>
    <row r="17" spans="1:2" x14ac:dyDescent="0.25">
      <c r="A17" t="s">
        <v>8</v>
      </c>
      <c r="B17">
        <f>SUM(B12:B15)</f>
        <v>94.59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data-1777492718949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2026-04-29T19:58:58Z</dcterms:created>
  <dcterms:modified xsi:type="dcterms:W3CDTF">2026-05-01T04:58:43Z</dcterms:modified>
</cp:coreProperties>
</file>